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83207e36f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nese final MAE" sheetId="1" r:id="Rcf885db1a7c8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+0.00;-0.00;0.00"/>
  </x:numFmts>
  <x:fonts count="12">
    <x:font>
      <x:sz val="11"/>
      <x:name val="Carlito"/>
    </x:font>
    <x:font>
      <x:sz val="11"/>
      <x:color rgb="FF202830"/>
      <x:name val="Arial"/>
    </x:font>
    <x:font>
      <x:b/>
      <x:sz val="16"/>
      <x:color rgb="FF202830"/>
      <x:name val="Arial"/>
    </x:font>
    <x:font>
      <x:i/>
      <x:sz val="11"/>
      <x:color rgb="FF526271"/>
      <x:name val="Arial"/>
    </x:font>
    <x:font>
      <x:b/>
      <x:sz val="11"/>
      <x:color rgb="FFFFFFFF"/>
      <x:name val="Arial"/>
    </x:font>
    <x:font>
      <x:b/>
      <x:sz val="11"/>
      <x:color rgb="FF202830"/>
      <x:name val="Arial"/>
    </x:font>
    <x:font>
      <x:sz val="10"/>
      <x:color rgb="FF526271"/>
      <x:name val="Arial"/>
    </x:font>
    <x:font>
      <x:sz val="11"/>
      <x:color rgb="FF000000"/>
      <x:name val="Arial"/>
    </x:font>
    <x:font>
      <x:b/>
      <x:sz val="16"/>
      <x:color rgb="FF000000"/>
      <x:name val="Arial"/>
    </x:font>
    <x:font>
      <x:i/>
      <x:sz val="11"/>
      <x:color rgb="FF000000"/>
      <x:name val="Arial"/>
    </x:font>
    <x:font>
      <x:b/>
      <x:sz val="11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B"/>
      </x:patternFill>
    </x:fill>
    <x:fill>
      <x:patternFill patternType="solid">
        <x:fgColor rgb="FFF2F5F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horizontal="center" vertical="center" wrapText="1"/>
    </x:xf>
    <x:xf numFmtId="200" fontId="7" fillId="4" borderId="0" xfId="0" applyNumberFormat="1" applyFont="1" applyFill="1" applyBorder="1" applyAlignment="1">
      <x:alignment horizontal="right" vertical="center"/>
    </x:xf>
    <x:xf numFmtId="201" fontId="10" fillId="4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202" fontId="7" fillId="4" borderId="0" xfId="0" applyNumberFormat="1" applyFont="1" applyFill="1" applyBorder="1" applyAlignment="1">
      <x:alignment horizontal="right" vertical="center"/>
    </x:xf>
    <x:xf numFmtId="0" fontId="1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5ce401e9340a0" /><Relationship Type="http://schemas.openxmlformats.org/officeDocument/2006/relationships/theme" Target="/xl/theme/theme1.xml" Id="R6f931f244bce4eef" /><Relationship Type="http://schemas.openxmlformats.org/officeDocument/2006/relationships/sharedStrings" Target="/xl/sharedStrings.xml" Id="R156ea41dc4424d7d" /><Relationship Type="http://schemas.openxmlformats.org/officeDocument/2006/relationships/worksheet" Target="/xl/worksheets/sheet1.xml" Id="Rcf885db1a7c846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6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38"/>
      <x:c r="B1" s="38"/>
      <x:c r="C1" s="38"/>
      <x:c r="D1" s="38"/>
      <x:c r="E1" s="38"/>
      <x:c r="F1" s="38"/>
    </x:row>
    <x:row r="2">
      <x:c r="A2" s="39" t="str">
        <x:v>Chinese MAE after training regression adjustment</x:v>
      </x:c>
      <x:c r="B2" s="38"/>
      <x:c r="C2" s="38"/>
      <x:c r="D2" s="38"/>
      <x:c r="E2" s="38"/>
      <x:c r="F2" s="38"/>
    </x:row>
    <x:row r="3">
      <x:c r="A3" s="40" t="str">
        <x:v>10-year age buckets. MAEs and changes are in years.</x:v>
      </x:c>
      <x:c r="B3" s="38"/>
      <x:c r="C3" s="38"/>
      <x:c r="D3" s="38"/>
      <x:c r="E3" s="38"/>
      <x:c r="F3" s="38"/>
    </x:row>
    <x:row r="4">
      <x:c r="A4" s="38"/>
      <x:c r="B4" s="38"/>
      <x:c r="C4" s="38"/>
      <x:c r="D4" s="38"/>
      <x:c r="E4" s="38"/>
      <x:c r="F4" s="38"/>
    </x:row>
    <x:row r="5" ht="40" customHeight="1">
      <x:c r="A5" s="41" t="str">
        <x:v>Sex</x:v>
      </x:c>
      <x:c r="B5" s="41" t="str">
        <x:v>Age panel</x:v>
      </x:c>
      <x:c r="C5" s="41" t="str">
        <x:v>Participants</x:v>
      </x:c>
      <x:c r="D5" s="41" t="str">
        <x:v>Final MAE
(years)</x:v>
      </x:c>
      <x:c r="E5" s="41" t="str">
        <x:v>Raw MAE
(years)</x:v>
      </x:c>
      <x:c r="F5" s="41" t="str">
        <x:v>MAE change
(final − raw)</x:v>
      </x:c>
    </x:row>
    <x:row r="6" ht="28" customHeight="1">
      <x:c r="A6" s="38" t="str">
        <x:v>Female</x:v>
      </x:c>
      <x:c r="B6" s="38" t="str">
        <x:v>5–40</x:v>
      </x:c>
      <x:c r="C6" s="42" t="n">
        <x:v>547</x:v>
      </x:c>
      <x:c r="D6" s="43" t="n">
        <x:v>2.88159966395097</x:v>
      </x:c>
      <x:c r="E6" s="44" t="n">
        <x:v>3.2108876735995295</x:v>
      </x:c>
      <x:c r="F6" s="45" t="n">
        <x:f>D6-E6</x:f>
        <x:v>-0.32928800964855975</x:v>
      </x:c>
    </x:row>
    <x:row r="7" ht="28" customHeight="1">
      <x:c r="A7" s="38" t="str">
        <x:v>Female</x:v>
      </x:c>
      <x:c r="B7" s="38" t="str">
        <x:v>&gt;40–90</x:v>
      </x:c>
      <x:c r="C7" s="42" t="n">
        <x:v>324</x:v>
      </x:c>
      <x:c r="D7" s="43" t="n">
        <x:v>4.08391767468489</x:v>
      </x:c>
      <x:c r="E7" s="44" t="n">
        <x:v>6.167967327673254</x:v>
      </x:c>
      <x:c r="F7" s="45" t="n">
        <x:f>D7-E7</x:f>
        <x:v>-2.084049652988364</x:v>
      </x:c>
    </x:row>
    <x:row r="8" ht="28" customHeight="1">
      <x:c r="A8" s="38" t="str">
        <x:v>Male</x:v>
      </x:c>
      <x:c r="B8" s="38" t="str">
        <x:v>5–40</x:v>
      </x:c>
      <x:c r="C8" s="42" t="n">
        <x:v>418</x:v>
      </x:c>
      <x:c r="D8" s="43" t="n">
        <x:v>2.973109439167698</x:v>
      </x:c>
      <x:c r="E8" s="44" t="n">
        <x:v>3.229822261122587</x:v>
      </x:c>
      <x:c r="F8" s="45" t="n">
        <x:f>D8-E8</x:f>
        <x:v>-0.25671282195488887</x:v>
      </x:c>
    </x:row>
    <x:row r="9" ht="28" customHeight="1">
      <x:c r="A9" s="38" t="str">
        <x:v>Male</x:v>
      </x:c>
      <x:c r="B9" s="38" t="str">
        <x:v>&gt;40–90</x:v>
      </x:c>
      <x:c r="C9" s="42" t="n">
        <x:v>194</x:v>
      </x:c>
      <x:c r="D9" s="43" t="n">
        <x:v>4.030963472919135</x:v>
      </x:c>
      <x:c r="E9" s="44" t="n">
        <x:v>5.612020182531714</x:v>
      </x:c>
      <x:c r="F9" s="45" t="n">
        <x:f>D9-E9</x:f>
        <x:v>-1.5810567096125796</x:v>
      </x:c>
    </x:row>
    <x:row r="10">
      <x:c r="A10" s="38"/>
      <x:c r="B10" s="38"/>
      <x:c r="C10" s="38"/>
      <x:c r="D10" s="38"/>
      <x:c r="E10" s="38"/>
      <x:c r="F10" s="38"/>
    </x:row>
    <x:row r="11">
      <x:c r="A11" s="46" t="str">
        <x:v>Final MAE = mean absolute adjusted BrainAGE, using eligible Chinese participants.</x:v>
      </x:c>
      <x:c r="B11" s="38"/>
      <x:c r="C11" s="38"/>
      <x:c r="D11" s="38"/>
      <x:c r="E11" s="38"/>
      <x:c r="F11" s="38"/>
    </x:row>
    <x:row r="12">
      <x:c r="A12" s="46" t="str">
        <x:v>Adjustment: raw BrainAGE − (training slope × age + intercept), within each sex/age bucket.</x:v>
      </x:c>
      <x:c r="B12" s="38"/>
      <x:c r="C12" s="38"/>
      <x:c r="D12" s="38"/>
      <x:c r="E12" s="38"/>
      <x:c r="F12" s="38"/>
    </x:row>
    <x:row r="13">
      <x:c r="A13" s="46" t="str">
        <x:v>These are descriptive adjusted gaps, not independent prediction-validation errors.</x:v>
      </x:c>
      <x:c r="B13" s="38"/>
      <x:c r="C13" s="38"/>
      <x:c r="D13" s="38"/>
      <x:c r="E13" s="38"/>
      <x:c r="F13" s="38"/>
    </x:row>
    <x:row r="14">
      <x:c r="A14" s="46"/>
      <x:c r="B14" s="38"/>
      <x:c r="C14" s="38"/>
      <x:c r="D14" s="38"/>
      <x:c r="E14" s="38"/>
      <x:c r="F14" s="38"/>
    </x:row>
    <x:row r="15">
      <x:c r="A15" s="46" t="str">
        <x:v>Source: analyses/training_bucket_bias/outputs/cohort_summary.csv (Chinese rows).</x:v>
      </x:c>
      <x:c r="B15" s="38"/>
      <x:c r="C15" s="38"/>
      <x:c r="D15" s="38"/>
      <x:c r="E15" s="38"/>
      <x:c r="F15" s="38"/>
    </x:row>
    <x:row r="16">
      <x:c r="A16" s="38"/>
      <x:c r="B16" s="38"/>
      <x:c r="C16" s="38"/>
      <x:c r="D16" s="38"/>
      <x:c r="E16" s="38"/>
      <x:c r="F16" s="38"/>
    </x:row>
  </x:sheetData>
  <x:pageMargins left="0.7" right="0.7" top="0.75" bottom="0.75" header="0.3" footer="0.3"/>
</x:worksheet>
</file>