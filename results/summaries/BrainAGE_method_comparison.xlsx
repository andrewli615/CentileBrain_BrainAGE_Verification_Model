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92e297787c42e0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Overview" sheetId="1" ns1:id="R858f5ef9fee740d7"/>
    <sheet name="Matched statistics" sheetId="2" ns1:id="R9521e9259da94d80"/>
    <sheet name="Available statistics" sheetId="3" ns1:id="Rd9c9d2b40eaa4fa7"/>
    <sheet name="Training reference" sheetId="4" ns1:id="Rb91bca1e6c214e02"/>
    <sheet name="Methods and coverage" sheetId="5" ns1:id="Rccd27236ce5e4b95"/>
  </sheets>
  <definedNames>
    <definedName name="_xlnm.Print_Area" localSheetId="0">'Overview'!$A$1:$K$27</definedName>
  </definedName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#,##0"/>
  </x:numFmts>
  <x:fonts count="6">
    <x:font>
      <x:sz val="11"/>
      <x:name val="Carlito"/>
    </x:font>
    <x:font>
      <x:sz val="10"/>
      <x:color rgb="FF20252A"/>
      <x:name val="Arial"/>
    </x:font>
    <x:font>
      <x:b/>
      <x:sz val="16"/>
      <x:color rgb="FF174D48"/>
      <x:name val="Arial"/>
    </x:font>
    <x:font>
      <x:b/>
      <x:sz val="10"/>
      <x:color rgb="FFFFFFFF"/>
      <x:name val="Arial"/>
    </x:font>
    <x:font>
      <x:b/>
      <x:sz val="10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5A54"/>
      </x:patternFill>
    </x:fill>
  </x:fills>
  <x:borders count="2">
    <x:border>
      <x:left/>
      <x:right/>
      <x:top/>
      <x:bottom/>
      <x:diagonal/>
    </x:border>
    <x:border>
      <x:left/>
      <x:right/>
      <x:top style="thin">
        <x:color rgb="FF829C98"/>
      </x:top>
      <x:bottom/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2" borderId="0" xfId="0" applyNumberFormat="1" applyFont="1" applyFill="1" applyBorder="1" applyAlignment="1">
      <x:alignment horizontal="right" vertical="center"/>
    </x:xf>
    <x:xf numFmtId="200" fontId="3" fillId="2" borderId="0" xfId="0" applyNumberFormat="1" applyFont="1" applyFill="1" applyBorder="1" applyAlignment="1">
      <x:alignment horizontal="right" vertical="center"/>
    </x:xf>
    <x:xf numFmtId="200" fontId="3" fillId="2" borderId="0" xfId="0" applyNumberFormat="1" applyFont="1" applyFill="1" applyBorder="1" applyAlignment="1">
      <x:alignment horizontal="right" vertical="center" wrapText="1"/>
    </x:xf>
    <x:xf numFmtId="20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left" vertical="center" wrapText="1"/>
    </x:xf>
    <x:xf numFmtId="201" fontId="1" fillId="0" borderId="0" xfId="0" applyNumberFormat="1" applyFont="1" applyFill="1" applyBorder="1" applyAlignment="1">
      <x:alignment horizontal="right" vertical="center"/>
    </x:xf>
    <x:xf numFmtId="200" fontId="1" fillId="0" borderId="1" xfId="0" applyNumberFormat="1" applyFont="1" applyFill="1" applyBorder="1" applyAlignment="1">
      <x:alignment horizontal="left" vertical="center"/>
    </x:xf>
    <x:xf numFmtId="201" fontId="1" fillId="0" borderId="1" xfId="0" applyNumberFormat="1" applyFont="1" applyFill="1" applyBorder="1" applyAlignment="1">
      <x:alignment horizontal="right" vertical="center"/>
    </x:xf>
    <x:xf numFmtId="200" fontId="1" fillId="0" borderId="1" xfId="0" applyNumberFormat="1" applyFont="1" applyFill="1" applyBorder="1" applyAlignment="1">
      <x:alignment horizontal="right" vertic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c30e5347f84a2c" /><Relationship Type="http://schemas.openxmlformats.org/officeDocument/2006/relationships/theme" Target="/xl/theme/theme1.xml" Id="R185ad5b73e964f69" /><Relationship Type="http://schemas.openxmlformats.org/officeDocument/2006/relationships/sharedStrings" Target="/xl/sharedStrings.xml" Id="R2f4951f5bf2343d8" /><Relationship Type="http://schemas.openxmlformats.org/officeDocument/2006/relationships/worksheet" Target="/xl/worksheets/sheet1.xml" Id="R858f5ef9fee740d7" /><Relationship Type="http://schemas.openxmlformats.org/officeDocument/2006/relationships/worksheet" Target="/xl/worksheets/sheet2.xml" Id="R9521e9259da94d80" /><Relationship Type="http://schemas.openxmlformats.org/officeDocument/2006/relationships/worksheet" Target="/xl/worksheets/sheet3.xml" Id="Rd9c9d2b40eaa4fa7" /><Relationship Type="http://schemas.openxmlformats.org/officeDocument/2006/relationships/worksheet" Target="/xl/worksheets/sheet4.xml" Id="Rb91bca1e6c214e02" /><Relationship Type="http://schemas.openxmlformats.org/officeDocument/2006/relationships/worksheet" Target="/xl/worksheets/sheet5.xml" Id="Rccd27236ce5e4b95" /></Relationships>
</file>

<file path=xl/tables/table1.xml><?xml version="1.0" encoding="utf-8"?>
<x:table xmlns:x="http://schemas.openxmlformats.org/spreadsheetml/2006/main" id="4" name="MAEOverview" displayName="MAEOverview" ref="A5:K27" headerRowCount="1" totalsRowCount="0" totalsRowShown="0">
  <x:autoFilter ref="A5:K27"/>
  <x:tableColumns count="11">
    <x:tableColumn id="1" name="Group"/>
    <x:tableColumn id="2" name="Sex"/>
    <x:tableColumn id="3" name="Age panel"/>
    <x:tableColumn id="4" name="Matched N"/>
    <x:tableColumn id="5" name="Age mean (yr)"/>
    <x:tableColumn id="6" name="Age SD (yr)"/>
    <x:tableColumn id="7" name="Raw&#10;MAE (yr)"/>
    <x:tableColumn id="8" name="CentileBrain adjusted&#10;MAE (yr)"/>
    <x:tableColumn id="9" name="Training 10-year&#10;MAE (yr)"/>
    <x:tableColumn id="10" name="Training 5-year&#10;MAE (yr)"/>
    <x:tableColumn id="11" name="BrainAGE_S&#10;MAE (yr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matchedstatistics" displayName="matchedstatistics" ref="A5:L115" headerRowCount="1" totalsRowCount="0" totalsRowShown="0">
  <x:autoFilter ref="A5:L115"/>
  <x:tableColumns count="12">
    <x:tableColumn id="1" name="Group"/>
    <x:tableColumn id="2" name="Sex"/>
    <x:tableColumn id="3" name="Age panel"/>
    <x:tableColumn id="4" name="Method"/>
    <x:tableColumn id="5" name="N"/>
    <x:tableColumn id="6" name="Age mean (yr)"/>
    <x:tableColumn id="7" name="Age SD (yr)"/>
    <x:tableColumn id="8" name="Age min (yr)"/>
    <x:tableColumn id="9" name="Age max (yr)"/>
    <x:tableColumn id="10" name="BrainAGE mean (yr)"/>
    <x:tableColumn id="11" name="BrainAGE SD (yr)"/>
    <x:tableColumn id="12" name="MAE (yr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availablestatistics" displayName="availablestatistics" ref="A5:L115" headerRowCount="1" totalsRowCount="0" totalsRowShown="0">
  <x:autoFilter ref="A5:L115"/>
  <x:tableColumns count="12">
    <x:tableColumn id="1" name="Group"/>
    <x:tableColumn id="2" name="Sex"/>
    <x:tableColumn id="3" name="Age panel"/>
    <x:tableColumn id="4" name="Method"/>
    <x:tableColumn id="5" name="N"/>
    <x:tableColumn id="6" name="Age mean (yr)"/>
    <x:tableColumn id="7" name="Age SD (yr)"/>
    <x:tableColumn id="8" name="Age min (yr)"/>
    <x:tableColumn id="9" name="Age max (yr)"/>
    <x:tableColumn id="10" name="BrainAGE mean (yr)"/>
    <x:tableColumn id="11" name="BrainAGE SD (yr)"/>
    <x:tableColumn id="12" name="MAE (yr)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trainingreference" displayName="trainingreference" ref="A5:L25" headerRowCount="1" totalsRowCount="0" totalsRowShown="0">
  <x:autoFilter ref="A5:L25"/>
  <x:tableColumns count="12">
    <x:tableColumn id="1" name="Group"/>
    <x:tableColumn id="2" name="Sex"/>
    <x:tableColumn id="3" name="Age panel"/>
    <x:tableColumn id="4" name="Method"/>
    <x:tableColumn id="5" name="N"/>
    <x:tableColumn id="6" name="Age mean (yr)"/>
    <x:tableColumn id="7" name="Age SD (yr)"/>
    <x:tableColumn id="8" name="Age min (yr)"/>
    <x:tableColumn id="9" name="Age max (yr)"/>
    <x:tableColumn id="10" name="BrainAGE mean (yr)"/>
    <x:tableColumn id="11" name="BrainAGE SD (yr)"/>
    <x:tableColumn id="12" name="MAE (yr)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verage" displayName="Coverage" ref="A21:H49" headerRowCount="1" totalsRowCount="0" totalsRowShown="0">
  <x:autoFilter ref="A21:H49"/>
  <x:tableColumns count="8">
    <x:tableColumn id="1" name="Group"/>
    <x:tableColumn id="2" name="Sex"/>
    <x:tableColumn id="3" name="Age panel"/>
    <x:tableColumn id="4" name="Status"/>
    <x:tableColumn id="5" name="Input N"/>
    <x:tableColumn id="6" name="Matched N"/>
    <x:tableColumn id="7" name="Invalid age N"/>
    <x:tableColumn id="8" name="Unmatched source 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8d9d81940e34db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91d6b5df4694bc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bd690b514b3424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3e6d2ce9bbe4dd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209e382b1c447d8" /></Relationships>
</file>

<file path=xl/worksheets/sheet1.xml><?xml version="1.0" encoding="utf-8"?>
<worksheet xmlns="http://schemas.openxmlformats.org/spreadsheetml/2006/main" xmlns:ns1="http://schemas.openxmlformats.org/officeDocument/2006/relationships">
  <sheetPr>
    <tabColor rgb="FF245A54"/>
    <pageSetUpPr fitToPage="1"/>
  </sheetPr>
  <sheetViews>
    <sheetView showGridLines="0" workbookViewId="0">
      <pane ySplit="5" topLeftCell="D6" activePane="bottomRight" state="frozen" xSplit="3"/>
    </sheetView>
  </sheetViews>
  <sheetFormatPr defaultRowHeight="15"/>
  <cols>
    <col min="1" max="1" width="17" hidden="0" customWidth="1"/>
    <col min="2" max="2" width="9" hidden="0" customWidth="1"/>
    <col min="3" max="3" width="12" hidden="0" customWidth="1"/>
    <col min="4" max="4" width="11" hidden="0" customWidth="1"/>
    <col min="5" max="5" width="13" hidden="0" customWidth="1"/>
    <col min="6" max="6" width="12" hidden="0" customWidth="1"/>
    <col min="7" max="7" width="12" hidden="0" customWidth="1"/>
    <col min="8" max="8" width="19" hidden="0" customWidth="1"/>
    <col min="9" max="9" width="16" hidden="0" customWidth="1"/>
    <col min="10" max="10" width="16" hidden="0" customWidth="1"/>
    <col min="11" max="11" width="14" hidden="0" customWidth="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25" customHeight="1">
      <c r="A2" s="2" t="str">
        <v>BrainAGE method comparison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>
      <c r="A3" s="1" t="str">
        <v>Whole-panel MAE in years. Each row uses the same participants across all five methods.</v>
      </c>
      <c r="B3" s="1"/>
      <c r="C3" s="1"/>
      <c r="D3" s="1"/>
      <c r="E3" s="1"/>
      <c r="F3" s="1"/>
      <c r="G3" s="1"/>
      <c r="H3" s="1"/>
      <c r="I3" s="1"/>
      <c r="J3" s="1"/>
      <c r="K3" s="1"/>
    </row>
    <row r="5" ht="38" customHeight="1">
      <c r="A5" s="9" t="str">
        <v>Group</v>
      </c>
      <c r="B5" s="9" t="str">
        <v>Sex</v>
      </c>
      <c r="C5" s="9" t="str">
        <v>Age panel</v>
      </c>
      <c r="D5" s="9" t="str">
        <v>Matched N</v>
      </c>
      <c r="E5" s="9" t="str">
        <v>Age mean (yr)</v>
      </c>
      <c r="F5" s="9" t="str">
        <v>Age SD (yr)</v>
      </c>
      <c r="G5" s="9" t="str">
        <v>Raw
MAE (yr)</v>
      </c>
      <c r="H5" s="9" t="str">
        <v>CentileBrain adjusted
MAE (yr)</v>
      </c>
      <c r="I5" s="9" t="str">
        <v>Training 10-year
MAE (yr)</v>
      </c>
      <c r="J5" s="9" t="str">
        <v>Training 5-year
MAE (yr)</v>
      </c>
      <c r="K5" s="9" t="str">
        <v>BrainAGE_S
MAE (yr)</v>
      </c>
    </row>
    <row r="6" ht="21" customHeight="1">
      <c r="A6" s="13" t="str">
        <v>Black</v>
      </c>
      <c r="B6" s="13" t="str">
        <v>Female</v>
      </c>
      <c r="C6" s="13" t="str">
        <v>40-90</v>
      </c>
      <c r="D6" s="14" t="n">
        <v>159</v>
      </c>
      <c r="E6" s="15" t="n">
        <v>59.515723270440255</v>
      </c>
      <c r="F6" s="15" t="n">
        <v>7.135980631175066</v>
      </c>
      <c r="G6" s="15" t="n">
        <f>SUMIFS('Matched statistics'!$L$6:$L$115,'Matched statistics'!$A$6:$A$115,$A6,'Matched statistics'!$B$6:$B$115,$B6,'Matched statistics'!$C$6:$C$115,$C6,'Matched statistics'!$D$6:$D$115,"Raw CentileBrain BAG")</f>
        <v>4.704165327131363</v>
      </c>
      <c r="H6" s="15" t="n">
        <f>SUMIFS('Matched statistics'!$L$6:$L$115,'Matched statistics'!$A$6:$A$115,$A6,'Matched statistics'!$B$6:$B$115,$B6,'Matched statistics'!$C$6:$C$115,$C6,'Matched statistics'!$D$6:$D$115,"CentileBrain panel-adjusted BAG")</f>
        <v>3.201397522150511</v>
      </c>
      <c r="I6" s="15" t="n">
        <f>SUMIFS('Matched statistics'!$L$6:$L$115,'Matched statistics'!$A$6:$A$115,$A6,'Matched statistics'!$B$6:$B$115,$B6,'Matched statistics'!$C$6:$C$115,$C6,'Matched statistics'!$D$6:$D$115,"Training-reference 10-year bucket-adjusted BAG")</f>
        <v>3.276655235850375</v>
      </c>
      <c r="J6" s="15" t="n">
        <f>SUMIFS('Matched statistics'!$L$6:$L$115,'Matched statistics'!$A$6:$A$115,$A6,'Matched statistics'!$B$6:$B$115,$B6,'Matched statistics'!$C$6:$C$115,$C6,'Matched statistics'!$D$6:$D$115,"Training-reference 5-year bucket-adjusted BAG")</f>
        <v>3.2660086311158905</v>
      </c>
      <c r="K6" s="15" t="n">
        <f>SUMIFS('Matched statistics'!$L$6:$L$115,'Matched statistics'!$A$6:$A$115,$A6,'Matched statistics'!$B$6:$B$115,$B6,'Matched statistics'!$C$6:$C$115,$C6,'Matched statistics'!$D$6:$D$115,"BrainAGE_S (cohort age-trend adjusted BAG)")</f>
        <v>3.2019380873676453</v>
      </c>
    </row>
    <row r="7" ht="21" customHeight="1">
      <c r="A7" s="10" t="str">
        <v>Black</v>
      </c>
      <c r="B7" s="10" t="str">
        <v>Male</v>
      </c>
      <c r="C7" s="10" t="str">
        <v>40-90</v>
      </c>
      <c r="D7" s="12" t="n">
        <v>125</v>
      </c>
      <c r="E7" s="5" t="n">
        <v>58.84</v>
      </c>
      <c r="F7" s="5" t="n">
        <v>7.499892472347467</v>
      </c>
      <c r="G7" s="5" t="n">
        <f>SUMIFS('Matched statistics'!$L$6:$L$115,'Matched statistics'!$A$6:$A$115,$A7,'Matched statistics'!$B$6:$B$115,$B7,'Matched statistics'!$C$6:$C$115,$C7,'Matched statistics'!$D$6:$D$115,"Raw CentileBrain BAG")</f>
        <v>5.596294685545595</v>
      </c>
      <c r="H7" s="5" t="n">
        <f>SUMIFS('Matched statistics'!$L$6:$L$115,'Matched statistics'!$A$6:$A$115,$A7,'Matched statistics'!$B$6:$B$115,$B7,'Matched statistics'!$C$6:$C$115,$C7,'Matched statistics'!$D$6:$D$115,"CentileBrain panel-adjusted BAG")</f>
        <v>3.8390515673404915</v>
      </c>
      <c r="I7" s="5" t="n">
        <f>SUMIFS('Matched statistics'!$L$6:$L$115,'Matched statistics'!$A$6:$A$115,$A7,'Matched statistics'!$B$6:$B$115,$B7,'Matched statistics'!$C$6:$C$115,$C7,'Matched statistics'!$D$6:$D$115,"Training-reference 10-year bucket-adjusted BAG")</f>
        <v>3.9923671866457444</v>
      </c>
      <c r="J7" s="5" t="n">
        <f>SUMIFS('Matched statistics'!$L$6:$L$115,'Matched statistics'!$A$6:$A$115,$A7,'Matched statistics'!$B$6:$B$115,$B7,'Matched statistics'!$C$6:$C$115,$C7,'Matched statistics'!$D$6:$D$115,"Training-reference 5-year bucket-adjusted BAG")</f>
        <v>3.9719585700217865</v>
      </c>
      <c r="K7" s="5" t="n">
        <f>SUMIFS('Matched statistics'!$L$6:$L$115,'Matched statistics'!$A$6:$A$115,$A7,'Matched statistics'!$B$6:$B$115,$B7,'Matched statistics'!$C$6:$C$115,$C7,'Matched statistics'!$D$6:$D$115,"BrainAGE_S (cohort age-trend adjusted BAG)")</f>
        <v>3.8377884678297267</v>
      </c>
    </row>
    <row r="8" ht="21" customHeight="1">
      <c r="A8" s="13" t="str">
        <v>Chilean</v>
      </c>
      <c r="B8" s="13" t="str">
        <v>Female</v>
      </c>
      <c r="C8" s="13" t="str">
        <v>5-40</v>
      </c>
      <c r="D8" s="14" t="n">
        <v>27</v>
      </c>
      <c r="E8" s="15" t="n">
        <v>24.444444444444443</v>
      </c>
      <c r="F8" s="15" t="n">
        <v>3.0801265375272306</v>
      </c>
      <c r="G8" s="15" t="n">
        <f>SUMIFS('Matched statistics'!$L$6:$L$115,'Matched statistics'!$A$6:$A$115,$A8,'Matched statistics'!$B$6:$B$115,$B8,'Matched statistics'!$C$6:$C$115,$C8,'Matched statistics'!$D$6:$D$115,"Raw CentileBrain BAG")</f>
        <v>3.1224423006663993</v>
      </c>
      <c r="H8" s="15" t="n">
        <f>SUMIFS('Matched statistics'!$L$6:$L$115,'Matched statistics'!$A$6:$A$115,$A8,'Matched statistics'!$B$6:$B$115,$B8,'Matched statistics'!$C$6:$C$115,$C8,'Matched statistics'!$D$6:$D$115,"CentileBrain panel-adjusted BAG")</f>
        <v>3.5270129568919817</v>
      </c>
      <c r="I8" s="15" t="n">
        <f>SUMIFS('Matched statistics'!$L$6:$L$115,'Matched statistics'!$A$6:$A$115,$A8,'Matched statistics'!$B$6:$B$115,$B8,'Matched statistics'!$C$6:$C$115,$C8,'Matched statistics'!$D$6:$D$115,"Training-reference 10-year bucket-adjusted BAG")</f>
        <v>3.2123911241342027</v>
      </c>
      <c r="J8" s="15" t="n">
        <f>SUMIFS('Matched statistics'!$L$6:$L$115,'Matched statistics'!$A$6:$A$115,$A8,'Matched statistics'!$B$6:$B$115,$B8,'Matched statistics'!$C$6:$C$115,$C8,'Matched statistics'!$D$6:$D$115,"Training-reference 5-year bucket-adjusted BAG")</f>
        <v>3.2234914988703838</v>
      </c>
      <c r="K8" s="15" t="n">
        <f>SUMIFS('Matched statistics'!$L$6:$L$115,'Matched statistics'!$A$6:$A$115,$A8,'Matched statistics'!$B$6:$B$115,$B8,'Matched statistics'!$C$6:$C$115,$C8,'Matched statistics'!$D$6:$D$115,"BrainAGE_S (cohort age-trend adjusted BAG)")</f>
        <v>3.5377673922778463</v>
      </c>
    </row>
    <row r="9" ht="21" customHeight="1">
      <c r="A9" s="10" t="str">
        <v>Chilean</v>
      </c>
      <c r="B9" s="10" t="str">
        <v>Male</v>
      </c>
      <c r="C9" s="10" t="str">
        <v>5-40</v>
      </c>
      <c r="D9" s="12" t="n">
        <v>56</v>
      </c>
      <c r="E9" s="5" t="n">
        <v>22.678571428571427</v>
      </c>
      <c r="F9" s="5" t="n">
        <v>3.6735276227088853</v>
      </c>
      <c r="G9" s="5" t="n">
        <f>SUMIFS('Matched statistics'!$L$6:$L$115,'Matched statistics'!$A$6:$A$115,$A9,'Matched statistics'!$B$6:$B$115,$B9,'Matched statistics'!$C$6:$C$115,$C9,'Matched statistics'!$D$6:$D$115,"Raw CentileBrain BAG")</f>
        <v>3.5325292484813176</v>
      </c>
      <c r="H9" s="5" t="n">
        <f>SUMIFS('Matched statistics'!$L$6:$L$115,'Matched statistics'!$A$6:$A$115,$A9,'Matched statistics'!$B$6:$B$115,$B9,'Matched statistics'!$C$6:$C$115,$C9,'Matched statistics'!$D$6:$D$115,"CentileBrain panel-adjusted BAG")</f>
        <v>3.3954650141112483</v>
      </c>
      <c r="I9" s="5" t="n">
        <f>SUMIFS('Matched statistics'!$L$6:$L$115,'Matched statistics'!$A$6:$A$115,$A9,'Matched statistics'!$B$6:$B$115,$B9,'Matched statistics'!$C$6:$C$115,$C9,'Matched statistics'!$D$6:$D$115,"Training-reference 10-year bucket-adjusted BAG")</f>
        <v>3.4222029926074287</v>
      </c>
      <c r="J9" s="5" t="n">
        <f>SUMIFS('Matched statistics'!$L$6:$L$115,'Matched statistics'!$A$6:$A$115,$A9,'Matched statistics'!$B$6:$B$115,$B9,'Matched statistics'!$C$6:$C$115,$C9,'Matched statistics'!$D$6:$D$115,"Training-reference 5-year bucket-adjusted BAG")</f>
        <v>3.397048206160314</v>
      </c>
      <c r="K9" s="5" t="n">
        <f>SUMIFS('Matched statistics'!$L$6:$L$115,'Matched statistics'!$A$6:$A$115,$A9,'Matched statistics'!$B$6:$B$115,$B9,'Matched statistics'!$C$6:$C$115,$C9,'Matched statistics'!$D$6:$D$115,"BrainAGE_S (cohort age-trend adjusted BAG)")</f>
        <v>3.3581873752644458</v>
      </c>
    </row>
    <row r="10" ht="21" customHeight="1">
      <c r="A10" s="13" t="str">
        <v>Chinese</v>
      </c>
      <c r="B10" s="13" t="str">
        <v>Female</v>
      </c>
      <c r="C10" s="13" t="str">
        <v>5-40</v>
      </c>
      <c r="D10" s="14" t="n">
        <v>547</v>
      </c>
      <c r="E10" s="15" t="n">
        <v>21.758683729433272</v>
      </c>
      <c r="F10" s="15" t="n">
        <v>3.899409707437319</v>
      </c>
      <c r="G10" s="15" t="n">
        <f>SUMIFS('Matched statistics'!$L$6:$L$115,'Matched statistics'!$A$6:$A$115,$A10,'Matched statistics'!$B$6:$B$115,$B10,'Matched statistics'!$C$6:$C$115,$C10,'Matched statistics'!$D$6:$D$115,"Raw CentileBrain BAG")</f>
        <v>3.2108876735995295</v>
      </c>
      <c r="H10" s="15" t="n">
        <f>SUMIFS('Matched statistics'!$L$6:$L$115,'Matched statistics'!$A$6:$A$115,$A10,'Matched statistics'!$B$6:$B$115,$B10,'Matched statistics'!$C$6:$C$115,$C10,'Matched statistics'!$D$6:$D$115,"CentileBrain panel-adjusted BAG")</f>
        <v>2.988168294188121</v>
      </c>
      <c r="I10" s="15" t="n">
        <f>SUMIFS('Matched statistics'!$L$6:$L$115,'Matched statistics'!$A$6:$A$115,$A10,'Matched statistics'!$B$6:$B$115,$B10,'Matched statistics'!$C$6:$C$115,$C10,'Matched statistics'!$D$6:$D$115,"Training-reference 10-year bucket-adjusted BAG")</f>
        <v>2.88159966395097</v>
      </c>
      <c r="J10" s="15" t="n">
        <f>SUMIFS('Matched statistics'!$L$6:$L$115,'Matched statistics'!$A$6:$A$115,$A10,'Matched statistics'!$B$6:$B$115,$B10,'Matched statistics'!$C$6:$C$115,$C10,'Matched statistics'!$D$6:$D$115,"Training-reference 5-year bucket-adjusted BAG")</f>
        <v>2.8582840204240108</v>
      </c>
      <c r="K10" s="15" t="n">
        <f>SUMIFS('Matched statistics'!$L$6:$L$115,'Matched statistics'!$A$6:$A$115,$A10,'Matched statistics'!$B$6:$B$115,$B10,'Matched statistics'!$C$6:$C$115,$C10,'Matched statistics'!$D$6:$D$115,"BrainAGE_S (cohort age-trend adjusted BAG)")</f>
        <v>2.9878020757122123</v>
      </c>
    </row>
    <row r="11" ht="21" customHeight="1">
      <c r="A11" s="10" t="str">
        <v>Chinese</v>
      </c>
      <c r="B11" s="10" t="str">
        <v>Female</v>
      </c>
      <c r="C11" s="10" t="str">
        <v>40-90</v>
      </c>
      <c r="D11" s="12" t="n">
        <v>324</v>
      </c>
      <c r="E11" s="5" t="n">
        <v>58.56481481481482</v>
      </c>
      <c r="F11" s="5" t="n">
        <v>8.311586692095155</v>
      </c>
      <c r="G11" s="5" t="n">
        <f>SUMIFS('Matched statistics'!$L$6:$L$115,'Matched statistics'!$A$6:$A$115,$A11,'Matched statistics'!$B$6:$B$115,$B11,'Matched statistics'!$C$6:$C$115,$C11,'Matched statistics'!$D$6:$D$115,"Raw CentileBrain BAG")</f>
        <v>6.167967327673254</v>
      </c>
      <c r="H11" s="5" t="n">
        <f>SUMIFS('Matched statistics'!$L$6:$L$115,'Matched statistics'!$A$6:$A$115,$A11,'Matched statistics'!$B$6:$B$115,$B11,'Matched statistics'!$C$6:$C$115,$C11,'Matched statistics'!$D$6:$D$115,"CentileBrain panel-adjusted BAG")</f>
        <v>3.891747656538399</v>
      </c>
      <c r="I11" s="5" t="n">
        <f>SUMIFS('Matched statistics'!$L$6:$L$115,'Matched statistics'!$A$6:$A$115,$A11,'Matched statistics'!$B$6:$B$115,$B11,'Matched statistics'!$C$6:$C$115,$C11,'Matched statistics'!$D$6:$D$115,"Training-reference 10-year bucket-adjusted BAG")</f>
        <v>4.08391767468489</v>
      </c>
      <c r="J11" s="5" t="n">
        <f>SUMIFS('Matched statistics'!$L$6:$L$115,'Matched statistics'!$A$6:$A$115,$A11,'Matched statistics'!$B$6:$B$115,$B11,'Matched statistics'!$C$6:$C$115,$C11,'Matched statistics'!$D$6:$D$115,"Training-reference 5-year bucket-adjusted BAG")</f>
        <v>4.081750885226088</v>
      </c>
      <c r="K11" s="5" t="n">
        <f>SUMIFS('Matched statistics'!$L$6:$L$115,'Matched statistics'!$A$6:$A$115,$A11,'Matched statistics'!$B$6:$B$115,$B11,'Matched statistics'!$C$6:$C$115,$C11,'Matched statistics'!$D$6:$D$115,"BrainAGE_S (cohort age-trend adjusted BAG)")</f>
        <v>3.8914894586764968</v>
      </c>
    </row>
    <row r="12" ht="21" customHeight="1">
      <c r="A12" s="10" t="str">
        <v>Chinese</v>
      </c>
      <c r="B12" s="10" t="str">
        <v>Male</v>
      </c>
      <c r="C12" s="10" t="str">
        <v>5-40</v>
      </c>
      <c r="D12" s="12" t="n">
        <v>418</v>
      </c>
      <c r="E12" s="5" t="n">
        <v>22.416267942583733</v>
      </c>
      <c r="F12" s="5" t="n">
        <v>3.949795665415896</v>
      </c>
      <c r="G12" s="5" t="n">
        <f>SUMIFS('Matched statistics'!$L$6:$L$115,'Matched statistics'!$A$6:$A$115,$A12,'Matched statistics'!$B$6:$B$115,$B12,'Matched statistics'!$C$6:$C$115,$C12,'Matched statistics'!$D$6:$D$115,"Raw CentileBrain BAG")</f>
        <v>3.229822261122588</v>
      </c>
      <c r="H12" s="5" t="n">
        <f>SUMIFS('Matched statistics'!$L$6:$L$115,'Matched statistics'!$A$6:$A$115,$A12,'Matched statistics'!$B$6:$B$115,$B12,'Matched statistics'!$C$6:$C$115,$C12,'Matched statistics'!$D$6:$D$115,"CentileBrain panel-adjusted BAG")</f>
        <v>2.8189900498034803</v>
      </c>
      <c r="I12" s="5" t="n">
        <f>SUMIFS('Matched statistics'!$L$6:$L$115,'Matched statistics'!$A$6:$A$115,$A12,'Matched statistics'!$B$6:$B$115,$B12,'Matched statistics'!$C$6:$C$115,$C12,'Matched statistics'!$D$6:$D$115,"Training-reference 10-year bucket-adjusted BAG")</f>
        <v>2.973109439167698</v>
      </c>
      <c r="J12" s="5" t="n">
        <f>SUMIFS('Matched statistics'!$L$6:$L$115,'Matched statistics'!$A$6:$A$115,$A12,'Matched statistics'!$B$6:$B$115,$B12,'Matched statistics'!$C$6:$C$115,$C12,'Matched statistics'!$D$6:$D$115,"Training-reference 5-year bucket-adjusted BAG")</f>
        <v>2.9750112399337176</v>
      </c>
      <c r="K12" s="5" t="n">
        <f>SUMIFS('Matched statistics'!$L$6:$L$115,'Matched statistics'!$A$6:$A$115,$A12,'Matched statistics'!$B$6:$B$115,$B12,'Matched statistics'!$C$6:$C$115,$C12,'Matched statistics'!$D$6:$D$115,"BrainAGE_S (cohort age-trend adjusted BAG)")</f>
        <v>2.7749034007664446</v>
      </c>
    </row>
    <row r="13" ht="21" customHeight="1">
      <c r="A13" s="10" t="str">
        <v>Chinese</v>
      </c>
      <c r="B13" s="10" t="str">
        <v>Male</v>
      </c>
      <c r="C13" s="10" t="str">
        <v>40-90</v>
      </c>
      <c r="D13" s="12" t="n">
        <v>194</v>
      </c>
      <c r="E13" s="5" t="n">
        <v>60.41752577319588</v>
      </c>
      <c r="F13" s="5" t="n">
        <v>8.267916771018738</v>
      </c>
      <c r="G13" s="5" t="n">
        <f>SUMIFS('Matched statistics'!$L$6:$L$115,'Matched statistics'!$A$6:$A$115,$A13,'Matched statistics'!$B$6:$B$115,$B13,'Matched statistics'!$C$6:$C$115,$C13,'Matched statistics'!$D$6:$D$115,"Raw CentileBrain BAG")</f>
        <v>5.612020182531714</v>
      </c>
      <c r="H13" s="5" t="n">
        <f>SUMIFS('Matched statistics'!$L$6:$L$115,'Matched statistics'!$A$6:$A$115,$A13,'Matched statistics'!$B$6:$B$115,$B13,'Matched statistics'!$C$6:$C$115,$C13,'Matched statistics'!$D$6:$D$115,"CentileBrain panel-adjusted BAG")</f>
        <v>3.7867289595906723</v>
      </c>
      <c r="I13" s="5" t="n">
        <f>SUMIFS('Matched statistics'!$L$6:$L$115,'Matched statistics'!$A$6:$A$115,$A13,'Matched statistics'!$B$6:$B$115,$B13,'Matched statistics'!$C$6:$C$115,$C13,'Matched statistics'!$D$6:$D$115,"Training-reference 10-year bucket-adjusted BAG")</f>
        <v>4.030963472919135</v>
      </c>
      <c r="J13" s="5" t="n">
        <f>SUMIFS('Matched statistics'!$L$6:$L$115,'Matched statistics'!$A$6:$A$115,$A13,'Matched statistics'!$B$6:$B$115,$B13,'Matched statistics'!$C$6:$C$115,$C13,'Matched statistics'!$D$6:$D$115,"Training-reference 5-year bucket-adjusted BAG")</f>
        <v>4.041826965442869</v>
      </c>
      <c r="K13" s="5" t="n">
        <f>SUMIFS('Matched statistics'!$L$6:$L$115,'Matched statistics'!$A$6:$A$115,$A13,'Matched statistics'!$B$6:$B$115,$B13,'Matched statistics'!$C$6:$C$115,$C13,'Matched statistics'!$D$6:$D$115,"BrainAGE_S (cohort age-trend adjusted BAG)")</f>
        <v>3.739850584091399</v>
      </c>
    </row>
    <row r="14" ht="21" customHeight="1">
      <c r="A14" s="13" t="str">
        <v>Japanese</v>
      </c>
      <c r="B14" s="13" t="str">
        <v>Female</v>
      </c>
      <c r="C14" s="13" t="str">
        <v>5-40</v>
      </c>
      <c r="D14" s="14" t="n">
        <v>216</v>
      </c>
      <c r="E14" s="15" t="n">
        <v>26.99537037037037</v>
      </c>
      <c r="F14" s="15" t="n">
        <v>6.607604980862431</v>
      </c>
      <c r="G14" s="15" t="n">
        <f>SUMIFS('Matched statistics'!$L$6:$L$115,'Matched statistics'!$A$6:$A$115,$A14,'Matched statistics'!$B$6:$B$115,$B14,'Matched statistics'!$C$6:$C$115,$C14,'Matched statistics'!$D$6:$D$115,"Raw CentileBrain BAG")</f>
        <v>5.166655728010373</v>
      </c>
      <c r="H14" s="15" t="n">
        <f>SUMIFS('Matched statistics'!$L$6:$L$115,'Matched statistics'!$A$6:$A$115,$A14,'Matched statistics'!$B$6:$B$115,$B14,'Matched statistics'!$C$6:$C$115,$C14,'Matched statistics'!$D$6:$D$115,"CentileBrain panel-adjusted BAG")</f>
        <v>2.5509903048576636</v>
      </c>
      <c r="I14" s="15" t="n">
        <f>SUMIFS('Matched statistics'!$L$6:$L$115,'Matched statistics'!$A$6:$A$115,$A14,'Matched statistics'!$B$6:$B$115,$B14,'Matched statistics'!$C$6:$C$115,$C14,'Matched statistics'!$D$6:$D$115,"Training-reference 10-year bucket-adjusted BAG")</f>
        <v>3.454550089933977</v>
      </c>
      <c r="J14" s="15" t="n">
        <f>SUMIFS('Matched statistics'!$L$6:$L$115,'Matched statistics'!$A$6:$A$115,$A14,'Matched statistics'!$B$6:$B$115,$B14,'Matched statistics'!$C$6:$C$115,$C14,'Matched statistics'!$D$6:$D$115,"Training-reference 5-year bucket-adjusted BAG")</f>
        <v>3.4531717097983408</v>
      </c>
      <c r="K14" s="15" t="n">
        <f>SUMIFS('Matched statistics'!$L$6:$L$115,'Matched statistics'!$A$6:$A$115,$A14,'Matched statistics'!$B$6:$B$115,$B14,'Matched statistics'!$C$6:$C$115,$C14,'Matched statistics'!$D$6:$D$115,"BrainAGE_S (cohort age-trend adjusted BAG)")</f>
        <v>2.317100597790466</v>
      </c>
    </row>
    <row r="15" ht="21" customHeight="1">
      <c r="A15" s="10" t="str">
        <v>Japanese</v>
      </c>
      <c r="B15" s="10" t="str">
        <v>Female</v>
      </c>
      <c r="C15" s="10" t="str">
        <v>40-90</v>
      </c>
      <c r="D15" s="12" t="n">
        <v>187</v>
      </c>
      <c r="E15" s="5" t="n">
        <v>53.25133689839572</v>
      </c>
      <c r="F15" s="5" t="n">
        <v>9.62389140823514</v>
      </c>
      <c r="G15" s="5" t="n">
        <f>SUMIFS('Matched statistics'!$L$6:$L$115,'Matched statistics'!$A$6:$A$115,$A15,'Matched statistics'!$B$6:$B$115,$B15,'Matched statistics'!$C$6:$C$115,$C15,'Matched statistics'!$D$6:$D$115,"Raw CentileBrain BAG")</f>
        <v>9.939435859279072</v>
      </c>
      <c r="H15" s="5" t="n">
        <f>SUMIFS('Matched statistics'!$L$6:$L$115,'Matched statistics'!$A$6:$A$115,$A15,'Matched statistics'!$B$6:$B$115,$B15,'Matched statistics'!$C$6:$C$115,$C15,'Matched statistics'!$D$6:$D$115,"CentileBrain panel-adjusted BAG")</f>
        <v>4.5620768698629055</v>
      </c>
      <c r="I15" s="5" t="n">
        <f>SUMIFS('Matched statistics'!$L$6:$L$115,'Matched statistics'!$A$6:$A$115,$A15,'Matched statistics'!$B$6:$B$115,$B15,'Matched statistics'!$C$6:$C$115,$C15,'Matched statistics'!$D$6:$D$115,"Training-reference 10-year bucket-adjusted BAG")</f>
        <v>5.377487413297806</v>
      </c>
      <c r="J15" s="5" t="n">
        <f>SUMIFS('Matched statistics'!$L$6:$L$115,'Matched statistics'!$A$6:$A$115,$A15,'Matched statistics'!$B$6:$B$115,$B15,'Matched statistics'!$C$6:$C$115,$C15,'Matched statistics'!$D$6:$D$115,"Training-reference 5-year bucket-adjusted BAG")</f>
        <v>5.336612136386521</v>
      </c>
      <c r="K15" s="5" t="n">
        <f>SUMIFS('Matched statistics'!$L$6:$L$115,'Matched statistics'!$A$6:$A$115,$A15,'Matched statistics'!$B$6:$B$115,$B15,'Matched statistics'!$C$6:$C$115,$C15,'Matched statistics'!$D$6:$D$115,"BrainAGE_S (cohort age-trend adjusted BAG)")</f>
        <v>4.4214352145840525</v>
      </c>
    </row>
    <row r="16" ht="21" customHeight="1">
      <c r="A16" s="10" t="str">
        <v>Japanese</v>
      </c>
      <c r="B16" s="10" t="str">
        <v>Male</v>
      </c>
      <c r="C16" s="10" t="str">
        <v>5-40</v>
      </c>
      <c r="D16" s="12" t="n">
        <v>389</v>
      </c>
      <c r="E16" s="5" t="n">
        <v>26.23393316195373</v>
      </c>
      <c r="F16" s="5" t="n">
        <v>6.04572612146195</v>
      </c>
      <c r="G16" s="5" t="n">
        <f>SUMIFS('Matched statistics'!$L$6:$L$115,'Matched statistics'!$A$6:$A$115,$A16,'Matched statistics'!$B$6:$B$115,$B16,'Matched statistics'!$C$6:$C$115,$C16,'Matched statistics'!$D$6:$D$115,"Raw CentileBrain BAG")</f>
        <v>4.849478939301972</v>
      </c>
      <c r="H16" s="5" t="n">
        <f>SUMIFS('Matched statistics'!$L$6:$L$115,'Matched statistics'!$A$6:$A$115,$A16,'Matched statistics'!$B$6:$B$115,$B16,'Matched statistics'!$C$6:$C$115,$C16,'Matched statistics'!$D$6:$D$115,"CentileBrain panel-adjusted BAG")</f>
        <v>2.8147303570724316</v>
      </c>
      <c r="I16" s="5" t="n">
        <f>SUMIFS('Matched statistics'!$L$6:$L$115,'Matched statistics'!$A$6:$A$115,$A16,'Matched statistics'!$B$6:$B$115,$B16,'Matched statistics'!$C$6:$C$115,$C16,'Matched statistics'!$D$6:$D$115,"Training-reference 10-year bucket-adjusted BAG")</f>
        <v>3.556054481042937</v>
      </c>
      <c r="J16" s="5" t="n">
        <f>SUMIFS('Matched statistics'!$L$6:$L$115,'Matched statistics'!$A$6:$A$115,$A16,'Matched statistics'!$B$6:$B$115,$B16,'Matched statistics'!$C$6:$C$115,$C16,'Matched statistics'!$D$6:$D$115,"Training-reference 5-year bucket-adjusted BAG")</f>
        <v>3.544356355374598</v>
      </c>
      <c r="K16" s="5" t="n">
        <f>SUMIFS('Matched statistics'!$L$6:$L$115,'Matched statistics'!$A$6:$A$115,$A16,'Matched statistics'!$B$6:$B$115,$B16,'Matched statistics'!$C$6:$C$115,$C16,'Matched statistics'!$D$6:$D$115,"BrainAGE_S (cohort age-trend adjusted BAG)")</f>
        <v>2.644986065627257</v>
      </c>
    </row>
    <row r="17" ht="21" customHeight="1">
      <c r="A17" s="10" t="str">
        <v>Japanese</v>
      </c>
      <c r="B17" s="10" t="str">
        <v>Male</v>
      </c>
      <c r="C17" s="10" t="str">
        <v>40-90</v>
      </c>
      <c r="D17" s="12" t="n">
        <v>128</v>
      </c>
      <c r="E17" s="5" t="n">
        <v>54.3984375</v>
      </c>
      <c r="F17" s="5" t="n">
        <v>9.978196579953162</v>
      </c>
      <c r="G17" s="5" t="n">
        <f>SUMIFS('Matched statistics'!$L$6:$L$115,'Matched statistics'!$A$6:$A$115,$A17,'Matched statistics'!$B$6:$B$115,$B17,'Matched statistics'!$C$6:$C$115,$C17,'Matched statistics'!$D$6:$D$115,"Raw CentileBrain BAG")</f>
        <v>8.823695079753929</v>
      </c>
      <c r="H17" s="5" t="n">
        <f>SUMIFS('Matched statistics'!$L$6:$L$115,'Matched statistics'!$A$6:$A$115,$A17,'Matched statistics'!$B$6:$B$115,$B17,'Matched statistics'!$C$6:$C$115,$C17,'Matched statistics'!$D$6:$D$115,"CentileBrain panel-adjusted BAG")</f>
        <v>4.367684813770984</v>
      </c>
      <c r="I17" s="5" t="n">
        <f>SUMIFS('Matched statistics'!$L$6:$L$115,'Matched statistics'!$A$6:$A$115,$A17,'Matched statistics'!$B$6:$B$115,$B17,'Matched statistics'!$C$6:$C$115,$C17,'Matched statistics'!$D$6:$D$115,"Training-reference 10-year bucket-adjusted BAG")</f>
        <v>5.117527541900619</v>
      </c>
      <c r="J17" s="5" t="n">
        <f>SUMIFS('Matched statistics'!$L$6:$L$115,'Matched statistics'!$A$6:$A$115,$A17,'Matched statistics'!$B$6:$B$115,$B17,'Matched statistics'!$C$6:$C$115,$C17,'Matched statistics'!$D$6:$D$115,"Training-reference 5-year bucket-adjusted BAG")</f>
        <v>5.2413246363880654</v>
      </c>
      <c r="K17" s="5" t="n">
        <f>SUMIFS('Matched statistics'!$L$6:$L$115,'Matched statistics'!$A$6:$A$115,$A17,'Matched statistics'!$B$6:$B$115,$B17,'Matched statistics'!$C$6:$C$115,$C17,'Matched statistics'!$D$6:$D$115,"BrainAGE_S (cohort age-trend adjusted BAG)")</f>
        <v>4.289114695110735</v>
      </c>
    </row>
    <row r="18" ht="21" customHeight="1">
      <c r="A18" s="13" t="str">
        <v>Mexican</v>
      </c>
      <c r="B18" s="13" t="str">
        <v>Female</v>
      </c>
      <c r="C18" s="13" t="str">
        <v>5-40</v>
      </c>
      <c r="D18" s="14" t="n">
        <v>106</v>
      </c>
      <c r="E18" s="15" t="n">
        <v>24.943396226415093</v>
      </c>
      <c r="F18" s="15" t="n">
        <v>5.535737037312316</v>
      </c>
      <c r="G18" s="15" t="n">
        <f>SUMIFS('Matched statistics'!$L$6:$L$115,'Matched statistics'!$A$6:$A$115,$A18,'Matched statistics'!$B$6:$B$115,$B18,'Matched statistics'!$C$6:$C$115,$C18,'Matched statistics'!$D$6:$D$115,"Raw CentileBrain BAG")</f>
        <v>4.232312020078611</v>
      </c>
      <c r="H18" s="15" t="n">
        <f>SUMIFS('Matched statistics'!$L$6:$L$115,'Matched statistics'!$A$6:$A$115,$A18,'Matched statistics'!$B$6:$B$115,$B18,'Matched statistics'!$C$6:$C$115,$C18,'Matched statistics'!$D$6:$D$115,"CentileBrain panel-adjusted BAG")</f>
        <v>2.8762208728154253</v>
      </c>
      <c r="I18" s="15" t="n">
        <f>SUMIFS('Matched statistics'!$L$6:$L$115,'Matched statistics'!$A$6:$A$115,$A18,'Matched statistics'!$B$6:$B$115,$B18,'Matched statistics'!$C$6:$C$115,$C18,'Matched statistics'!$D$6:$D$115,"Training-reference 10-year bucket-adjusted BAG")</f>
        <v>3.2803642680069403</v>
      </c>
      <c r="J18" s="15" t="n">
        <f>SUMIFS('Matched statistics'!$L$6:$L$115,'Matched statistics'!$A$6:$A$115,$A18,'Matched statistics'!$B$6:$B$115,$B18,'Matched statistics'!$C$6:$C$115,$C18,'Matched statistics'!$D$6:$D$115,"Training-reference 5-year bucket-adjusted BAG")</f>
        <v>3.275002372588003</v>
      </c>
      <c r="K18" s="15" t="n">
        <f>SUMIFS('Matched statistics'!$L$6:$L$115,'Matched statistics'!$A$6:$A$115,$A18,'Matched statistics'!$B$6:$B$115,$B18,'Matched statistics'!$C$6:$C$115,$C18,'Matched statistics'!$D$6:$D$115,"BrainAGE_S (cohort age-trend adjusted BAG)")</f>
        <v>2.88274933463525</v>
      </c>
    </row>
    <row r="19" ht="21" customHeight="1">
      <c r="A19" s="10" t="str">
        <v>Mexican</v>
      </c>
      <c r="B19" s="10" t="str">
        <v>Female</v>
      </c>
      <c r="C19" s="10" t="str">
        <v>40-90</v>
      </c>
      <c r="D19" s="12" t="n">
        <v>31</v>
      </c>
      <c r="E19" s="5" t="n">
        <v>50</v>
      </c>
      <c r="F19" s="5" t="n">
        <v>7.848566748139434</v>
      </c>
      <c r="G19" s="5" t="n">
        <f>SUMIFS('Matched statistics'!$L$6:$L$115,'Matched statistics'!$A$6:$A$115,$A19,'Matched statistics'!$B$6:$B$115,$B19,'Matched statistics'!$C$6:$C$115,$C19,'Matched statistics'!$D$6:$D$115,"Raw CentileBrain BAG")</f>
        <v>13.270976352326246</v>
      </c>
      <c r="H19" s="5" t="n">
        <f>SUMIFS('Matched statistics'!$L$6:$L$115,'Matched statistics'!$A$6:$A$115,$A19,'Matched statistics'!$B$6:$B$115,$B19,'Matched statistics'!$C$6:$C$115,$C19,'Matched statistics'!$D$6:$D$115,"CentileBrain panel-adjusted BAG")</f>
        <v>6.497673760343708</v>
      </c>
      <c r="I19" s="5" t="n">
        <f>SUMIFS('Matched statistics'!$L$6:$L$115,'Matched statistics'!$A$6:$A$115,$A19,'Matched statistics'!$B$6:$B$115,$B19,'Matched statistics'!$C$6:$C$115,$C19,'Matched statistics'!$D$6:$D$115,"Training-reference 10-year bucket-adjusted BAG")</f>
        <v>7.68144497774263</v>
      </c>
      <c r="J19" s="5" t="n">
        <f>SUMIFS('Matched statistics'!$L$6:$L$115,'Matched statistics'!$A$6:$A$115,$A19,'Matched statistics'!$B$6:$B$115,$B19,'Matched statistics'!$C$6:$C$115,$C19,'Matched statistics'!$D$6:$D$115,"Training-reference 5-year bucket-adjusted BAG")</f>
        <v>7.602708318151069</v>
      </c>
      <c r="K19" s="5" t="n">
        <f>SUMIFS('Matched statistics'!$L$6:$L$115,'Matched statistics'!$A$6:$A$115,$A19,'Matched statistics'!$B$6:$B$115,$B19,'Matched statistics'!$C$6:$C$115,$C19,'Matched statistics'!$D$6:$D$115,"BrainAGE_S (cohort age-trend adjusted BAG)")</f>
        <v>6.4939658678124355</v>
      </c>
    </row>
    <row r="20" ht="21" customHeight="1">
      <c r="A20" s="10" t="str">
        <v>Mexican</v>
      </c>
      <c r="B20" s="10" t="str">
        <v>Male</v>
      </c>
      <c r="C20" s="10" t="str">
        <v>5-40</v>
      </c>
      <c r="D20" s="12" t="n">
        <v>164</v>
      </c>
      <c r="E20" s="5" t="n">
        <v>26.98780487804878</v>
      </c>
      <c r="F20" s="5" t="n">
        <v>5.940386681427736</v>
      </c>
      <c r="G20" s="5" t="n">
        <f>SUMIFS('Matched statistics'!$L$6:$L$115,'Matched statistics'!$A$6:$A$115,$A20,'Matched statistics'!$B$6:$B$115,$B20,'Matched statistics'!$C$6:$C$115,$C20,'Matched statistics'!$D$6:$D$115,"Raw CentileBrain BAG")</f>
        <v>5.625286039022513</v>
      </c>
      <c r="H20" s="5" t="n">
        <f>SUMIFS('Matched statistics'!$L$6:$L$115,'Matched statistics'!$A$6:$A$115,$A20,'Matched statistics'!$B$6:$B$115,$B20,'Matched statistics'!$C$6:$C$115,$C20,'Matched statistics'!$D$6:$D$115,"CentileBrain panel-adjusted BAG")</f>
        <v>3.3427571194085366</v>
      </c>
      <c r="I20" s="5" t="n">
        <f>SUMIFS('Matched statistics'!$L$6:$L$115,'Matched statistics'!$A$6:$A$115,$A20,'Matched statistics'!$B$6:$B$115,$B20,'Matched statistics'!$C$6:$C$115,$C20,'Matched statistics'!$D$6:$D$115,"Training-reference 10-year bucket-adjusted BAG")</f>
        <v>4.248202826916232</v>
      </c>
      <c r="J20" s="5" t="n">
        <f>SUMIFS('Matched statistics'!$L$6:$L$115,'Matched statistics'!$A$6:$A$115,$A20,'Matched statistics'!$B$6:$B$115,$B20,'Matched statistics'!$C$6:$C$115,$C20,'Matched statistics'!$D$6:$D$115,"Training-reference 5-year bucket-adjusted BAG")</f>
        <v>4.234475521431507</v>
      </c>
      <c r="K20" s="5" t="n">
        <f>SUMIFS('Matched statistics'!$L$6:$L$115,'Matched statistics'!$A$6:$A$115,$A20,'Matched statistics'!$B$6:$B$115,$B20,'Matched statistics'!$C$6:$C$115,$C20,'Matched statistics'!$D$6:$D$115,"BrainAGE_S (cohort age-trend adjusted BAG)")</f>
        <v>3.2981308563491187</v>
      </c>
    </row>
    <row r="21" ht="21" customHeight="1">
      <c r="A21" s="10" t="str">
        <v>Mexican</v>
      </c>
      <c r="B21" s="10" t="str">
        <v>Male</v>
      </c>
      <c r="C21" s="10" t="str">
        <v>40-90</v>
      </c>
      <c r="D21" s="12" t="n">
        <v>13</v>
      </c>
      <c r="E21" s="5" t="n">
        <v>44.23076923076923</v>
      </c>
      <c r="F21" s="5" t="n">
        <v>2.8033862307884654</v>
      </c>
      <c r="G21" s="5" t="n">
        <f>SUMIFS('Matched statistics'!$L$6:$L$115,'Matched statistics'!$A$6:$A$115,$A21,'Matched statistics'!$B$6:$B$115,$B21,'Matched statistics'!$C$6:$C$115,$C21,'Matched statistics'!$D$6:$D$115,"Raw CentileBrain BAG")</f>
        <v>16.540703663812625</v>
      </c>
      <c r="H21" s="5" t="n">
        <f>SUMIFS('Matched statistics'!$L$6:$L$115,'Matched statistics'!$A$6:$A$115,$A21,'Matched statistics'!$B$6:$B$115,$B21,'Matched statistics'!$C$6:$C$115,$C21,'Matched statistics'!$D$6:$D$115,"CentileBrain panel-adjusted BAG")</f>
        <v>3.2325789821106317</v>
      </c>
      <c r="I21" s="5" t="n">
        <f>SUMIFS('Matched statistics'!$L$6:$L$115,'Matched statistics'!$A$6:$A$115,$A21,'Matched statistics'!$B$6:$B$115,$B21,'Matched statistics'!$C$6:$C$115,$C21,'Matched statistics'!$D$6:$D$115,"Training-reference 10-year bucket-adjusted BAG")</f>
        <v>9.484583913832516</v>
      </c>
      <c r="J21" s="5" t="n">
        <f>SUMIFS('Matched statistics'!$L$6:$L$115,'Matched statistics'!$A$6:$A$115,$A21,'Matched statistics'!$B$6:$B$115,$B21,'Matched statistics'!$C$6:$C$115,$C21,'Matched statistics'!$D$6:$D$115,"Training-reference 5-year bucket-adjusted BAG")</f>
        <v>9.652668738650437</v>
      </c>
      <c r="K21" s="5" t="n">
        <f>SUMIFS('Matched statistics'!$L$6:$L$115,'Matched statistics'!$A$6:$A$115,$A21,'Matched statistics'!$B$6:$B$115,$B21,'Matched statistics'!$C$6:$C$115,$C21,'Matched statistics'!$D$6:$D$115,"BrainAGE_S (cohort age-trend adjusted BAG)")</f>
        <v>3.178760479006947</v>
      </c>
    </row>
    <row r="22" ht="21" customHeight="1">
      <c r="A22" s="13" t="str">
        <v>South Asian</v>
      </c>
      <c r="B22" s="13" t="str">
        <v>Female</v>
      </c>
      <c r="C22" s="13" t="str">
        <v>5-40</v>
      </c>
      <c r="D22" s="14" t="n">
        <v>16</v>
      </c>
      <c r="E22" s="15" t="n">
        <v>29.4375</v>
      </c>
      <c r="F22" s="15" t="n">
        <v>6.869922367343996</v>
      </c>
      <c r="G22" s="15" t="n">
        <f>SUMIFS('Matched statistics'!$L$6:$L$115,'Matched statistics'!$A$6:$A$115,$A22,'Matched statistics'!$B$6:$B$115,$B22,'Matched statistics'!$C$6:$C$115,$C22,'Matched statistics'!$D$6:$D$115,"Raw CentileBrain BAG")</f>
        <v>5.751489700114144</v>
      </c>
      <c r="H22" s="15" t="n">
        <f>SUMIFS('Matched statistics'!$L$6:$L$115,'Matched statistics'!$A$6:$A$115,$A22,'Matched statistics'!$B$6:$B$115,$B22,'Matched statistics'!$C$6:$C$115,$C22,'Matched statistics'!$D$6:$D$115,"CentileBrain panel-adjusted BAG")</f>
        <v>2.1775303822644645</v>
      </c>
      <c r="I22" s="15" t="n">
        <f>SUMIFS('Matched statistics'!$L$6:$L$115,'Matched statistics'!$A$6:$A$115,$A22,'Matched statistics'!$B$6:$B$115,$B22,'Matched statistics'!$C$6:$C$115,$C22,'Matched statistics'!$D$6:$D$115,"Training-reference 10-year bucket-adjusted BAG")</f>
        <v>3.3366649575681597</v>
      </c>
      <c r="J22" s="15" t="n">
        <f>SUMIFS('Matched statistics'!$L$6:$L$115,'Matched statistics'!$A$6:$A$115,$A22,'Matched statistics'!$B$6:$B$115,$B22,'Matched statistics'!$C$6:$C$115,$C22,'Matched statistics'!$D$6:$D$115,"Training-reference 5-year bucket-adjusted BAG")</f>
        <v>3.384421238605314</v>
      </c>
      <c r="K22" s="15" t="n">
        <f>SUMIFS('Matched statistics'!$L$6:$L$115,'Matched statistics'!$A$6:$A$115,$A22,'Matched statistics'!$B$6:$B$115,$B22,'Matched statistics'!$C$6:$C$115,$C22,'Matched statistics'!$D$6:$D$115,"BrainAGE_S (cohort age-trend adjusted BAG)")</f>
        <v>1.9073063262353451</v>
      </c>
    </row>
    <row r="23" ht="21" customHeight="1">
      <c r="A23" s="10" t="str">
        <v>South Asian</v>
      </c>
      <c r="B23" s="10" t="str">
        <v>Female</v>
      </c>
      <c r="C23" s="10" t="str">
        <v>40-90</v>
      </c>
      <c r="D23" s="12" t="n">
        <v>144</v>
      </c>
      <c r="E23" s="5" t="n">
        <v>59.951388888888886</v>
      </c>
      <c r="F23" s="5" t="n">
        <v>8.044743635157069</v>
      </c>
      <c r="G23" s="5" t="n">
        <f>SUMIFS('Matched statistics'!$L$6:$L$115,'Matched statistics'!$A$6:$A$115,$A23,'Matched statistics'!$B$6:$B$115,$B23,'Matched statistics'!$C$6:$C$115,$C23,'Matched statistics'!$D$6:$D$115,"Raw CentileBrain BAG")</f>
        <v>5.5895912743039355</v>
      </c>
      <c r="H23" s="5" t="n">
        <f>SUMIFS('Matched statistics'!$L$6:$L$115,'Matched statistics'!$A$6:$A$115,$A23,'Matched statistics'!$B$6:$B$115,$B23,'Matched statistics'!$C$6:$C$115,$C23,'Matched statistics'!$D$6:$D$115,"CentileBrain panel-adjusted BAG")</f>
        <v>3.618056092100486</v>
      </c>
      <c r="I23" s="5" t="n">
        <f>SUMIFS('Matched statistics'!$L$6:$L$115,'Matched statistics'!$A$6:$A$115,$A23,'Matched statistics'!$B$6:$B$115,$B23,'Matched statistics'!$C$6:$C$115,$C23,'Matched statistics'!$D$6:$D$115,"Training-reference 10-year bucket-adjusted BAG")</f>
        <v>3.8326564186472325</v>
      </c>
      <c r="J23" s="5" t="n">
        <f>SUMIFS('Matched statistics'!$L$6:$L$115,'Matched statistics'!$A$6:$A$115,$A23,'Matched statistics'!$B$6:$B$115,$B23,'Matched statistics'!$C$6:$C$115,$C23,'Matched statistics'!$D$6:$D$115,"Training-reference 5-year bucket-adjusted BAG")</f>
        <v>3.7965134247653256</v>
      </c>
      <c r="K23" s="5" t="n">
        <f>SUMIFS('Matched statistics'!$L$6:$L$115,'Matched statistics'!$A$6:$A$115,$A23,'Matched statistics'!$B$6:$B$115,$B23,'Matched statistics'!$C$6:$C$115,$C23,'Matched statistics'!$D$6:$D$115,"BrainAGE_S (cohort age-trend adjusted BAG)")</f>
        <v>3.570434296410867</v>
      </c>
    </row>
    <row r="24" ht="21" customHeight="1">
      <c r="A24" s="10" t="str">
        <v>South Asian</v>
      </c>
      <c r="B24" s="10" t="str">
        <v>Male</v>
      </c>
      <c r="C24" s="10" t="str">
        <v>5-40</v>
      </c>
      <c r="D24" s="12" t="n">
        <v>21</v>
      </c>
      <c r="E24" s="5" t="n">
        <v>28</v>
      </c>
      <c r="F24" s="5" t="n">
        <v>5.167204273105526</v>
      </c>
      <c r="G24" s="5" t="n">
        <f>SUMIFS('Matched statistics'!$L$6:$L$115,'Matched statistics'!$A$6:$A$115,$A24,'Matched statistics'!$B$6:$B$115,$B24,'Matched statistics'!$C$6:$C$115,$C24,'Matched statistics'!$D$6:$D$115,"Raw CentileBrain BAG")</f>
        <v>4.340091636340863</v>
      </c>
      <c r="H24" s="5" t="n">
        <f>SUMIFS('Matched statistics'!$L$6:$L$115,'Matched statistics'!$A$6:$A$115,$A24,'Matched statistics'!$B$6:$B$115,$B24,'Matched statistics'!$C$6:$C$115,$C24,'Matched statistics'!$D$6:$D$115,"CentileBrain panel-adjusted BAG")</f>
        <v>2.707086686322044</v>
      </c>
      <c r="I24" s="5" t="n">
        <f>SUMIFS('Matched statistics'!$L$6:$L$115,'Matched statistics'!$A$6:$A$115,$A24,'Matched statistics'!$B$6:$B$115,$B24,'Matched statistics'!$C$6:$C$115,$C24,'Matched statistics'!$D$6:$D$115,"Training-reference 10-year bucket-adjusted BAG")</f>
        <v>3.116586933904427</v>
      </c>
      <c r="J24" s="5" t="n">
        <f>SUMIFS('Matched statistics'!$L$6:$L$115,'Matched statistics'!$A$6:$A$115,$A24,'Matched statistics'!$B$6:$B$115,$B24,'Matched statistics'!$C$6:$C$115,$C24,'Matched statistics'!$D$6:$D$115,"Training-reference 5-year bucket-adjusted BAG")</f>
        <v>3.1523954524509357</v>
      </c>
      <c r="K24" s="5" t="n">
        <f>SUMIFS('Matched statistics'!$L$6:$L$115,'Matched statistics'!$A$6:$A$115,$A24,'Matched statistics'!$B$6:$B$115,$B24,'Matched statistics'!$C$6:$C$115,$C24,'Matched statistics'!$D$6:$D$115,"BrainAGE_S (cohort age-trend adjusted BAG)")</f>
        <v>2.6618197869169875</v>
      </c>
    </row>
    <row r="25" ht="21" customHeight="1">
      <c r="A25" s="10" t="str">
        <v>South Asian</v>
      </c>
      <c r="B25" s="10" t="str">
        <v>Male</v>
      </c>
      <c r="C25" s="10" t="str">
        <v>40-90</v>
      </c>
      <c r="D25" s="12" t="n">
        <v>238</v>
      </c>
      <c r="E25" s="5" t="n">
        <v>60.294117647058826</v>
      </c>
      <c r="F25" s="5" t="n">
        <v>8.68759525090141</v>
      </c>
      <c r="G25" s="5" t="n">
        <f>SUMIFS('Matched statistics'!$L$6:$L$115,'Matched statistics'!$A$6:$A$115,$A25,'Matched statistics'!$B$6:$B$115,$B25,'Matched statistics'!$C$6:$C$115,$C25,'Matched statistics'!$D$6:$D$115,"Raw CentileBrain BAG")</f>
        <v>5.4934845497629405</v>
      </c>
      <c r="H25" s="5" t="n">
        <f>SUMIFS('Matched statistics'!$L$6:$L$115,'Matched statistics'!$A$6:$A$115,$A25,'Matched statistics'!$B$6:$B$115,$B25,'Matched statistics'!$C$6:$C$115,$C25,'Matched statistics'!$D$6:$D$115,"CentileBrain panel-adjusted BAG")</f>
        <v>3.924168775186589</v>
      </c>
      <c r="I25" s="5" t="n">
        <f>SUMIFS('Matched statistics'!$L$6:$L$115,'Matched statistics'!$A$6:$A$115,$A25,'Matched statistics'!$B$6:$B$115,$B25,'Matched statistics'!$C$6:$C$115,$C25,'Matched statistics'!$D$6:$D$115,"Training-reference 10-year bucket-adjusted BAG")</f>
        <v>4.054632902713032</v>
      </c>
      <c r="J25" s="5" t="n">
        <f>SUMIFS('Matched statistics'!$L$6:$L$115,'Matched statistics'!$A$6:$A$115,$A25,'Matched statistics'!$B$6:$B$115,$B25,'Matched statistics'!$C$6:$C$115,$C25,'Matched statistics'!$D$6:$D$115,"Training-reference 5-year bucket-adjusted BAG")</f>
        <v>4.073084293702812</v>
      </c>
      <c r="K25" s="5" t="n">
        <f>SUMIFS('Matched statistics'!$L$6:$L$115,'Matched statistics'!$A$6:$A$115,$A25,'Matched statistics'!$B$6:$B$115,$B25,'Matched statistics'!$C$6:$C$115,$C25,'Matched statistics'!$D$6:$D$115,"BrainAGE_S (cohort age-trend adjusted BAG)")</f>
        <v>3.934811756123751</v>
      </c>
    </row>
    <row r="26" ht="21" customHeight="1">
      <c r="A26" s="13" t="str">
        <v>Turkish</v>
      </c>
      <c r="B26" s="13" t="str">
        <v>Female</v>
      </c>
      <c r="C26" s="13" t="str">
        <v>5-40</v>
      </c>
      <c r="D26" s="14" t="n">
        <v>268</v>
      </c>
      <c r="E26" s="15" t="n">
        <v>19.59328358208955</v>
      </c>
      <c r="F26" s="15" t="n">
        <v>2.4484711353318853</v>
      </c>
      <c r="G26" s="15" t="n">
        <f>SUMIFS('Matched statistics'!$L$6:$L$115,'Matched statistics'!$A$6:$A$115,$A26,'Matched statistics'!$B$6:$B$115,$B26,'Matched statistics'!$C$6:$C$115,$C26,'Matched statistics'!$D$6:$D$115,"Raw CentileBrain BAG")</f>
        <v>2.5876956737733137</v>
      </c>
      <c r="H26" s="15" t="n">
        <f>SUMIFS('Matched statistics'!$L$6:$L$115,'Matched statistics'!$A$6:$A$115,$A26,'Matched statistics'!$B$6:$B$115,$B26,'Matched statistics'!$C$6:$C$115,$C26,'Matched statistics'!$D$6:$D$115,"CentileBrain panel-adjusted BAG")</f>
        <v>2.414725820022386</v>
      </c>
      <c r="I26" s="15" t="n">
        <f>SUMIFS('Matched statistics'!$L$6:$L$115,'Matched statistics'!$A$6:$A$115,$A26,'Matched statistics'!$B$6:$B$115,$B26,'Matched statistics'!$C$6:$C$115,$C26,'Matched statistics'!$D$6:$D$115,"Training-reference 10-year bucket-adjusted BAG")</f>
        <v>2.5754264611744624</v>
      </c>
      <c r="J26" s="15" t="n">
        <f>SUMIFS('Matched statistics'!$L$6:$L$115,'Matched statistics'!$A$6:$A$115,$A26,'Matched statistics'!$B$6:$B$115,$B26,'Matched statistics'!$C$6:$C$115,$C26,'Matched statistics'!$D$6:$D$115,"Training-reference 5-year bucket-adjusted BAG")</f>
        <v>2.5728047407054477</v>
      </c>
      <c r="K26" s="15" t="n">
        <f>SUMIFS('Matched statistics'!$L$6:$L$115,'Matched statistics'!$A$6:$A$115,$A26,'Matched statistics'!$B$6:$B$115,$B26,'Matched statistics'!$C$6:$C$115,$C26,'Matched statistics'!$D$6:$D$115,"BrainAGE_S (cohort age-trend adjusted BAG)")</f>
        <v>2.4133286727229613</v>
      </c>
    </row>
    <row r="27" ht="21" customHeight="1">
      <c r="A27" s="10" t="str">
        <v>Turkish</v>
      </c>
      <c r="B27" s="10" t="str">
        <v>Male</v>
      </c>
      <c r="C27" s="10" t="str">
        <v>5-40</v>
      </c>
      <c r="D27" s="12" t="n">
        <v>154</v>
      </c>
      <c r="E27" s="5" t="n">
        <v>19.59090909090909</v>
      </c>
      <c r="F27" s="5" t="n">
        <v>2.3999282025307416</v>
      </c>
      <c r="G27" s="5" t="n">
        <f>SUMIFS('Matched statistics'!$L$6:$L$115,'Matched statistics'!$A$6:$A$115,$A27,'Matched statistics'!$B$6:$B$115,$B27,'Matched statistics'!$C$6:$C$115,$C27,'Matched statistics'!$D$6:$D$115,"Raw CentileBrain BAG")</f>
        <v>2.864634009735683</v>
      </c>
      <c r="H27" s="5" t="n">
        <f>SUMIFS('Matched statistics'!$L$6:$L$115,'Matched statistics'!$A$6:$A$115,$A27,'Matched statistics'!$B$6:$B$115,$B27,'Matched statistics'!$C$6:$C$115,$C27,'Matched statistics'!$D$6:$D$115,"CentileBrain panel-adjusted BAG")</f>
        <v>2.7091679439822633</v>
      </c>
      <c r="I27" s="5" t="n">
        <f>SUMIFS('Matched statistics'!$L$6:$L$115,'Matched statistics'!$A$6:$A$115,$A27,'Matched statistics'!$B$6:$B$115,$B27,'Matched statistics'!$C$6:$C$115,$C27,'Matched statistics'!$D$6:$D$115,"Training-reference 10-year bucket-adjusted BAG")</f>
        <v>2.87009192657406</v>
      </c>
      <c r="J27" s="5" t="n">
        <f>SUMIFS('Matched statistics'!$L$6:$L$115,'Matched statistics'!$A$6:$A$115,$A27,'Matched statistics'!$B$6:$B$115,$B27,'Matched statistics'!$C$6:$C$115,$C27,'Matched statistics'!$D$6:$D$115,"Training-reference 5-year bucket-adjusted BAG")</f>
        <v>2.8627700860962366</v>
      </c>
      <c r="K27" s="5" t="n">
        <f>SUMIFS('Matched statistics'!$L$6:$L$115,'Matched statistics'!$A$6:$A$115,$A27,'Matched statistics'!$B$6:$B$115,$B27,'Matched statistics'!$C$6:$C$115,$C27,'Matched statistics'!$D$6:$D$115,"BrainAGE_S (cohort age-trend adjusted BAG)")</f>
        <v>2.7101694589153396</v>
      </c>
    </row>
  </sheetData>
  <pageMargins left="0.7" right="0.7" top="0.75" bottom="0.75" header="0.3" footer="0.3"/>
  <pageSetup orientation="landscape" paperSize="9" fitToWidth="1" fitToHeight="1"/>
  <tableParts count="1">
    <tablePart ns1:id="R78d9d81940e34db6"/>
  </tableParts>
</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0" hidden="0" customWidth="1"/>
    <x:col min="3" max="3" width="13" hidden="0" customWidth="1"/>
    <x:col min="4" max="4" width="48" hidden="0" customWidth="1"/>
    <x:col min="5" max="5" width="9" hidden="0" customWidth="1"/>
    <x:col min="6" max="6" width="14" hidden="0" customWidth="1"/>
    <x:col min="7" max="7" width="13" hidden="0" customWidth="1"/>
    <x:col min="8" max="8" width="13" hidden="0" customWidth="1"/>
    <x:col min="9" max="9" width="13" hidden="0" customWidth="1"/>
    <x:col min="10" max="10" width="20" hidden="0" customWidth="1"/>
    <x:col min="11" max="11" width="18" hidden="0" customWidth="1"/>
    <x:col min="12" max="12" width="13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5" customHeight="1">
      <x:c r="A2" s="2" t="str">
        <x:v>Matched statistics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1" t="str">
        <x:v>Same eligible participants across all five methods within each panel.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5" ht="38" customHeight="1">
      <x:c r="A5" s="9" t="str">
        <x:v>Group</x:v>
      </x:c>
      <x:c r="B5" s="9" t="str">
        <x:v>Sex</x:v>
      </x:c>
      <x:c r="C5" s="9" t="str">
        <x:v>Age panel</x:v>
      </x:c>
      <x:c r="D5" s="9" t="str">
        <x:v>Method</x:v>
      </x:c>
      <x:c r="E5" s="9" t="str">
        <x:v>N</x:v>
      </x:c>
      <x:c r="F5" s="9" t="str">
        <x:v>Age mean (yr)</x:v>
      </x:c>
      <x:c r="G5" s="9" t="str">
        <x:v>Age SD (yr)</x:v>
      </x:c>
      <x:c r="H5" s="9" t="str">
        <x:v>Age min (yr)</x:v>
      </x:c>
      <x:c r="I5" s="9" t="str">
        <x:v>Age max (yr)</x:v>
      </x:c>
      <x:c r="J5" s="9" t="str">
        <x:v>BrainAGE mean (yr)</x:v>
      </x:c>
      <x:c r="K5" s="9" t="str">
        <x:v>BrainAGE SD (yr)</x:v>
      </x:c>
      <x:c r="L5" s="9" t="str">
        <x:v>MAE (yr)</x:v>
      </x:c>
    </x:row>
    <x:row r="6" ht="32" customHeight="1">
      <x:c r="A6" s="10" t="str">
        <x:v>Black</x:v>
      </x:c>
      <x:c r="B6" s="10" t="str">
        <x:v>Female</x:v>
      </x:c>
      <x:c r="C6" s="10" t="str">
        <x:v>40-90</x:v>
      </x:c>
      <x:c r="D6" s="11" t="str">
        <x:v>Raw CentileBrain BAG</x:v>
      </x:c>
      <x:c r="E6" s="12" t="n">
        <x:v>159</x:v>
      </x:c>
      <x:c r="F6" s="5" t="n">
        <x:v>59.515723270440255</x:v>
      </x:c>
      <x:c r="G6" s="5" t="n">
        <x:v>7.135980631175066</x:v>
      </x:c>
      <x:c r="H6" s="5" t="n">
        <x:v>47</x:v>
      </x:c>
      <x:c r="I6" s="5" t="n">
        <x:v>79</x:v>
      </x:c>
      <x:c r="J6" s="5" t="n">
        <x:v>2.6401588898140775</x:v>
      </x:c>
      <x:c r="K6" s="5" t="n">
        <x:v>5.089850850388999</x:v>
      </x:c>
      <x:c r="L6" s="5" t="n">
        <x:v>4.704165327131363</x:v>
      </x:c>
    </x:row>
    <x:row r="7" ht="32" customHeight="1">
      <x:c r="A7" s="10" t="str">
        <x:v>Black</x:v>
      </x:c>
      <x:c r="B7" s="10" t="str">
        <x:v>Female</x:v>
      </x:c>
      <x:c r="C7" s="10" t="str">
        <x:v>40-90</x:v>
      </x:c>
      <x:c r="D7" s="11" t="str">
        <x:v>CentileBrain panel-adjusted BAG</x:v>
      </x:c>
      <x:c r="E7" s="12" t="n">
        <x:v>159</x:v>
      </x:c>
      <x:c r="F7" s="5" t="n">
        <x:v>59.515723270440255</x:v>
      </x:c>
      <x:c r="G7" s="5" t="n">
        <x:v>7.135980631175066</x:v>
      </x:c>
      <x:c r="H7" s="5" t="n">
        <x:v>47</x:v>
      </x:c>
      <x:c r="I7" s="5" t="n">
        <x:v>79</x:v>
      </x:c>
      <x:c r="J7" s="5" t="n">
        <x:v>1.3637740177577689</x:v>
      </x:c>
      <x:c r="K7" s="5" t="n">
        <x:v>3.7463643963329307</x:v>
      </x:c>
      <x:c r="L7" s="5" t="n">
        <x:v>3.201397522150511</x:v>
      </x:c>
    </x:row>
    <x:row r="8" ht="32" customHeight="1">
      <x:c r="A8" s="10" t="str">
        <x:v>Black</x:v>
      </x:c>
      <x:c r="B8" s="10" t="str">
        <x:v>Female</x:v>
      </x:c>
      <x:c r="C8" s="10" t="str">
        <x:v>40-90</x:v>
      </x:c>
      <x:c r="D8" s="11" t="str">
        <x:v>Training-reference 10-year bucket-adjusted BAG</x:v>
      </x:c>
      <x:c r="E8" s="12" t="n">
        <x:v>159</x:v>
      </x:c>
      <x:c r="F8" s="5" t="n">
        <x:v>59.515723270440255</x:v>
      </x:c>
      <x:c r="G8" s="5" t="n">
        <x:v>7.135980631175066</x:v>
      </x:c>
      <x:c r="H8" s="5" t="n">
        <x:v>47</x:v>
      </x:c>
      <x:c r="I8" s="5" t="n">
        <x:v>79</x:v>
      </x:c>
      <x:c r="J8" s="5" t="n">
        <x:v>1.5420613767658888</x:v>
      </x:c>
      <x:c r="K8" s="5" t="n">
        <x:v>3.799148725247507</x:v>
      </x:c>
      <x:c r="L8" s="5" t="n">
        <x:v>3.276655235850375</x:v>
      </x:c>
    </x:row>
    <x:row r="9" ht="32" customHeight="1">
      <x:c r="A9" s="10" t="str">
        <x:v>Black</x:v>
      </x:c>
      <x:c r="B9" s="10" t="str">
        <x:v>Female</x:v>
      </x:c>
      <x:c r="C9" s="10" t="str">
        <x:v>40-90</x:v>
      </x:c>
      <x:c r="D9" s="11" t="str">
        <x:v>Training-reference 5-year bucket-adjusted BAG</x:v>
      </x:c>
      <x:c r="E9" s="12" t="n">
        <x:v>159</x:v>
      </x:c>
      <x:c r="F9" s="5" t="n">
        <x:v>59.515723270440255</x:v>
      </x:c>
      <x:c r="G9" s="5" t="n">
        <x:v>7.135980631175066</x:v>
      </x:c>
      <x:c r="H9" s="5" t="n">
        <x:v>47</x:v>
      </x:c>
      <x:c r="I9" s="5" t="n">
        <x:v>79</x:v>
      </x:c>
      <x:c r="J9" s="5" t="n">
        <x:v>1.5297995950377108</x:v>
      </x:c>
      <x:c r="K9" s="5" t="n">
        <x:v>3.7860189466790932</x:v>
      </x:c>
      <x:c r="L9" s="5" t="n">
        <x:v>3.2660086311158905</x:v>
      </x:c>
    </x:row>
    <x:row r="10" ht="32" customHeight="1">
      <x:c r="A10" s="10" t="str">
        <x:v>Black</x:v>
      </x:c>
      <x:c r="B10" s="10" t="str">
        <x:v>Female</x:v>
      </x:c>
      <x:c r="C10" s="10" t="str">
        <x:v>40-90</x:v>
      </x:c>
      <x:c r="D10" s="11" t="str">
        <x:v>BrainAGE_S (cohort age-trend adjusted BAG)</x:v>
      </x:c>
      <x:c r="E10" s="12" t="n">
        <x:v>159</x:v>
      </x:c>
      <x:c r="F10" s="5" t="n">
        <x:v>59.515723270440255</x:v>
      </x:c>
      <x:c r="G10" s="5" t="n">
        <x:v>7.135980631175066</x:v>
      </x:c>
      <x:c r="H10" s="5" t="n">
        <x:v>47</x:v>
      </x:c>
      <x:c r="I10" s="5" t="n">
        <x:v>79</x:v>
      </x:c>
      <x:c r="J10" s="5" t="n">
        <x:v>1.363774017757769</x:v>
      </x:c>
      <x:c r="K10" s="5" t="n">
        <x:v>3.7462255940926052</x:v>
      </x:c>
      <x:c r="L10" s="5" t="n">
        <x:v>3.2019380873676453</x:v>
      </x:c>
    </x:row>
    <x:row r="11" ht="32" customHeight="1">
      <x:c r="A11" s="10" t="str">
        <x:v>Black</x:v>
      </x:c>
      <x:c r="B11" s="10" t="str">
        <x:v>Male</x:v>
      </x:c>
      <x:c r="C11" s="10" t="str">
        <x:v>40-90</x:v>
      </x:c>
      <x:c r="D11" s="11" t="str">
        <x:v>Raw CentileBrain BAG</x:v>
      </x:c>
      <x:c r="E11" s="12" t="n">
        <x:v>125</x:v>
      </x:c>
      <x:c r="F11" s="5" t="n">
        <x:v>58.84</x:v>
      </x:c>
      <x:c r="G11" s="5" t="n">
        <x:v>7.499892472347467</x:v>
      </x:c>
      <x:c r="H11" s="5" t="n">
        <x:v>47</x:v>
      </x:c>
      <x:c r="I11" s="5" t="n">
        <x:v>76</x:v>
      </x:c>
      <x:c r="J11" s="5" t="n">
        <x:v>4.004265542465054</x:v>
      </x:c>
      <x:c r="K11" s="5" t="n">
        <x:v>5.450742733671324</x:v>
      </x:c>
      <x:c r="L11" s="5" t="n">
        <x:v>5.596294685545595</x:v>
      </x:c>
    </x:row>
    <x:row r="12" ht="32" customHeight="1">
      <x:c r="A12" s="10" t="str">
        <x:v>Black</x:v>
      </x:c>
      <x:c r="B12" s="10" t="str">
        <x:v>Male</x:v>
      </x:c>
      <x:c r="C12" s="10" t="str">
        <x:v>40-90</x:v>
      </x:c>
      <x:c r="D12" s="11" t="str">
        <x:v>CentileBrain panel-adjusted BAG</x:v>
      </x:c>
      <x:c r="E12" s="12" t="n">
        <x:v>125</x:v>
      </x:c>
      <x:c r="F12" s="5" t="n">
        <x:v>58.84</x:v>
      </x:c>
      <x:c r="G12" s="5" t="n">
        <x:v>7.499892472347467</x:v>
      </x:c>
      <x:c r="H12" s="5" t="n">
        <x:v>47</x:v>
      </x:c>
      <x:c r="I12" s="5" t="n">
        <x:v>76</x:v>
      </x:c>
      <x:c r="J12" s="5" t="n">
        <x:v>2.4413456086110292</x:v>
      </x:c>
      <x:c r="K12" s="5" t="n">
        <x:v>4.099042768495567</x:v>
      </x:c>
      <x:c r="L12" s="5" t="n">
        <x:v>3.8390515673404915</x:v>
      </x:c>
    </x:row>
    <x:row r="13" ht="32" customHeight="1">
      <x:c r="A13" s="10" t="str">
        <x:v>Black</x:v>
      </x:c>
      <x:c r="B13" s="10" t="str">
        <x:v>Male</x:v>
      </x:c>
      <x:c r="C13" s="10" t="str">
        <x:v>40-90</x:v>
      </x:c>
      <x:c r="D13" s="11" t="str">
        <x:v>Training-reference 10-year bucket-adjusted BAG</x:v>
      </x:c>
      <x:c r="E13" s="12" t="n">
        <x:v>125</x:v>
      </x:c>
      <x:c r="F13" s="5" t="n">
        <x:v>58.84</x:v>
      </x:c>
      <x:c r="G13" s="5" t="n">
        <x:v>7.499892472347467</x:v>
      </x:c>
      <x:c r="H13" s="5" t="n">
        <x:v>47</x:v>
      </x:c>
      <x:c r="I13" s="5" t="n">
        <x:v>76</x:v>
      </x:c>
      <x:c r="J13" s="5" t="n">
        <x:v>2.707241410792813</x:v>
      </x:c>
      <x:c r="K13" s="5" t="n">
        <x:v>4.169961168946817</x:v>
      </x:c>
      <x:c r="L13" s="5" t="n">
        <x:v>3.9923671866457444</x:v>
      </x:c>
    </x:row>
    <x:row r="14" ht="32" customHeight="1">
      <x:c r="A14" s="10" t="str">
        <x:v>Black</x:v>
      </x:c>
      <x:c r="B14" s="10" t="str">
        <x:v>Male</x:v>
      </x:c>
      <x:c r="C14" s="10" t="str">
        <x:v>40-90</x:v>
      </x:c>
      <x:c r="D14" s="11" t="str">
        <x:v>Training-reference 5-year bucket-adjusted BAG</x:v>
      </x:c>
      <x:c r="E14" s="12" t="n">
        <x:v>125</x:v>
      </x:c>
      <x:c r="F14" s="5" t="n">
        <x:v>58.84</x:v>
      </x:c>
      <x:c r="G14" s="5" t="n">
        <x:v>7.499892472347467</x:v>
      </x:c>
      <x:c r="H14" s="5" t="n">
        <x:v>47</x:v>
      </x:c>
      <x:c r="I14" s="5" t="n">
        <x:v>76</x:v>
      </x:c>
      <x:c r="J14" s="5" t="n">
        <x:v>2.7043302398623212</x:v>
      </x:c>
      <x:c r="K14" s="5" t="n">
        <x:v>4.157077926959346</x:v>
      </x:c>
      <x:c r="L14" s="5" t="n">
        <x:v>3.9719585700217865</x:v>
      </x:c>
    </x:row>
    <x:row r="15" ht="32" customHeight="1">
      <x:c r="A15" s="10" t="str">
        <x:v>Black</x:v>
      </x:c>
      <x:c r="B15" s="10" t="str">
        <x:v>Male</x:v>
      </x:c>
      <x:c r="C15" s="10" t="str">
        <x:v>40-90</x:v>
      </x:c>
      <x:c r="D15" s="11" t="str">
        <x:v>BrainAGE_S (cohort age-trend adjusted BAG)</x:v>
      </x:c>
      <x:c r="E15" s="12" t="n">
        <x:v>125</x:v>
      </x:c>
      <x:c r="F15" s="5" t="n">
        <x:v>58.84</x:v>
      </x:c>
      <x:c r="G15" s="5" t="n">
        <x:v>7.499892472347467</x:v>
      </x:c>
      <x:c r="H15" s="5" t="n">
        <x:v>47</x:v>
      </x:c>
      <x:c r="I15" s="5" t="n">
        <x:v>76</x:v>
      </x:c>
      <x:c r="J15" s="5" t="n">
        <x:v>2.4413456086110297</x:v>
      </x:c>
      <x:c r="K15" s="5" t="n">
        <x:v>4.097054573410593</x:v>
      </x:c>
      <x:c r="L15" s="5" t="n">
        <x:v>3.8377884678297267</x:v>
      </x:c>
    </x:row>
    <x:row r="16" ht="32" customHeight="1">
      <x:c r="A16" s="10" t="str">
        <x:v>Chilean</x:v>
      </x:c>
      <x:c r="B16" s="10" t="str">
        <x:v>Female</x:v>
      </x:c>
      <x:c r="C16" s="10" t="str">
        <x:v>5-40</x:v>
      </x:c>
      <x:c r="D16" s="11" t="str">
        <x:v>Raw CentileBrain BAG</x:v>
      </x:c>
      <x:c r="E16" s="12" t="n">
        <x:v>27</x:v>
      </x:c>
      <x:c r="F16" s="5" t="n">
        <x:v>24.444444444444443</x:v>
      </x:c>
      <x:c r="G16" s="5" t="n">
        <x:v>3.0801265375272306</x:v>
      </x:c>
      <x:c r="H16" s="5" t="n">
        <x:v>19</x:v>
      </x:c>
      <x:c r="I16" s="5" t="n">
        <x:v>32</x:v>
      </x:c>
      <x:c r="J16" s="5" t="n">
        <x:v>2.4084380693095775</x:v>
      </x:c>
      <x:c r="K16" s="5" t="n">
        <x:v>3.3478890621605295</x:v>
      </x:c>
      <x:c r="L16" s="5" t="n">
        <x:v>3.1224423006663993</x:v>
      </x:c>
    </x:row>
    <x:row r="17" ht="32" customHeight="1">
      <x:c r="A17" s="10" t="str">
        <x:v>Chilean</x:v>
      </x:c>
      <x:c r="B17" s="10" t="str">
        <x:v>Female</x:v>
      </x:c>
      <x:c r="C17" s="10" t="str">
        <x:v>5-40</x:v>
      </x:c>
      <x:c r="D17" s="11" t="str">
        <x:v>CentileBrain panel-adjusted BAG</x:v>
      </x:c>
      <x:c r="E17" s="12" t="n">
        <x:v>27</x:v>
      </x:c>
      <x:c r="F17" s="5" t="n">
        <x:v>24.444444444444443</x:v>
      </x:c>
      <x:c r="G17" s="5" t="n">
        <x:v>3.0801265375272306</x:v>
      </x:c>
      <x:c r="H17" s="5" t="n">
        <x:v>19</x:v>
      </x:c>
      <x:c r="I17" s="5" t="n">
        <x:v>32</x:v>
      </x:c>
      <x:c r="J17" s="5" t="n">
        <x:v>3.44301259731997</x:v>
      </x:c>
      <x:c r="K17" s="5" t="n">
        <x:v>2.962648160440888</x:v>
      </x:c>
      <x:c r="L17" s="5" t="n">
        <x:v>3.5270129568919817</x:v>
      </x:c>
    </x:row>
    <x:row r="18" ht="32" customHeight="1">
      <x:c r="A18" s="10" t="str">
        <x:v>Chilean</x:v>
      </x:c>
      <x:c r="B18" s="10" t="str">
        <x:v>Female</x:v>
      </x:c>
      <x:c r="C18" s="10" t="str">
        <x:v>5-40</x:v>
      </x:c>
      <x:c r="D18" s="11" t="str">
        <x:v>Training-reference 10-year bucket-adjusted BAG</x:v>
      </x:c>
      <x:c r="E18" s="12" t="n">
        <x:v>27</x:v>
      </x:c>
      <x:c r="F18" s="5" t="n">
        <x:v>24.444444444444443</x:v>
      </x:c>
      <x:c r="G18" s="5" t="n">
        <x:v>3.0801265375272306</x:v>
      </x:c>
      <x:c r="H18" s="5" t="n">
        <x:v>19</x:v>
      </x:c>
      <x:c r="I18" s="5" t="n">
        <x:v>32</x:v>
      </x:c>
      <x:c r="J18" s="5" t="n">
        <x:v>2.8457027508382766</x:v>
      </x:c>
      <x:c r="K18" s="5" t="n">
        <x:v>3.108987161819194</x:v>
      </x:c>
      <x:c r="L18" s="5" t="n">
        <x:v>3.2123911241342027</x:v>
      </x:c>
    </x:row>
    <x:row r="19" ht="32" customHeight="1">
      <x:c r="A19" s="10" t="str">
        <x:v>Chilean</x:v>
      </x:c>
      <x:c r="B19" s="10" t="str">
        <x:v>Female</x:v>
      </x:c>
      <x:c r="C19" s="10" t="str">
        <x:v>5-40</x:v>
      </x:c>
      <x:c r="D19" s="11" t="str">
        <x:v>Training-reference 5-year bucket-adjusted BAG</x:v>
      </x:c>
      <x:c r="E19" s="12" t="n">
        <x:v>27</x:v>
      </x:c>
      <x:c r="F19" s="5" t="n">
        <x:v>24.444444444444443</x:v>
      </x:c>
      <x:c r="G19" s="5" t="n">
        <x:v>3.0801265375272306</x:v>
      </x:c>
      <x:c r="H19" s="5" t="n">
        <x:v>19</x:v>
      </x:c>
      <x:c r="I19" s="5" t="n">
        <x:v>32</x:v>
      </x:c>
      <x:c r="J19" s="5" t="n">
        <x:v>2.8750652828906236</x:v>
      </x:c>
      <x:c r="K19" s="5" t="n">
        <x:v>3.1335723255623793</x:v>
      </x:c>
      <x:c r="L19" s="5" t="n">
        <x:v>3.2234914988703838</x:v>
      </x:c>
    </x:row>
    <x:row r="20" ht="32" customHeight="1">
      <x:c r="A20" s="10" t="str">
        <x:v>Chilean</x:v>
      </x:c>
      <x:c r="B20" s="10" t="str">
        <x:v>Female</x:v>
      </x:c>
      <x:c r="C20" s="10" t="str">
        <x:v>5-40</x:v>
      </x:c>
      <x:c r="D20" s="11" t="str">
        <x:v>BrainAGE_S (cohort age-trend adjusted BAG)</x:v>
      </x:c>
      <x:c r="E20" s="12" t="n">
        <x:v>27</x:v>
      </x:c>
      <x:c r="F20" s="5" t="n">
        <x:v>24.444444444444443</x:v>
      </x:c>
      <x:c r="G20" s="5" t="n">
        <x:v>3.0801265375272306</x:v>
      </x:c>
      <x:c r="H20" s="5" t="n">
        <x:v>19</x:v>
      </x:c>
      <x:c r="I20" s="5" t="n">
        <x:v>32</x:v>
      </x:c>
      <x:c r="J20" s="5" t="n">
        <x:v>3.4430125973199694</x:v>
      </x:c>
      <x:c r="K20" s="5" t="n">
        <x:v>2.9608502940717285</x:v>
      </x:c>
      <x:c r="L20" s="5" t="n">
        <x:v>3.5377673922778463</x:v>
      </x:c>
    </x:row>
    <x:row r="21" ht="32" customHeight="1">
      <x:c r="A21" s="10" t="str">
        <x:v>Chilean</x:v>
      </x:c>
      <x:c r="B21" s="10" t="str">
        <x:v>Male</x:v>
      </x:c>
      <x:c r="C21" s="10" t="str">
        <x:v>5-40</x:v>
      </x:c>
      <x:c r="D21" s="11" t="str">
        <x:v>Raw CentileBrain BAG</x:v>
      </x:c>
      <x:c r="E21" s="12" t="n">
        <x:v>56</x:v>
      </x:c>
      <x:c r="F21" s="5" t="n">
        <x:v>22.678571428571427</x:v>
      </x:c>
      <x:c r="G21" s="5" t="n">
        <x:v>3.6735276227088853</x:v>
      </x:c>
      <x:c r="H21" s="5" t="n">
        <x:v>18</x:v>
      </x:c>
      <x:c r="I21" s="5" t="n">
        <x:v>32</x:v>
      </x:c>
      <x:c r="J21" s="5" t="n">
        <x:v>1.5646399150251606</x:v>
      </x:c>
      <x:c r="K21" s="5" t="n">
        <x:v>3.988346154771064</x:v>
      </x:c>
      <x:c r="L21" s="5" t="n">
        <x:v>3.5325292484813176</x:v>
      </x:c>
    </x:row>
    <x:row r="22" ht="32" customHeight="1">
      <x:c r="A22" s="10" t="str">
        <x:v>Chilean</x:v>
      </x:c>
      <x:c r="B22" s="10" t="str">
        <x:v>Male</x:v>
      </x:c>
      <x:c r="C22" s="10" t="str">
        <x:v>5-40</x:v>
      </x:c>
      <x:c r="D22" s="11" t="str">
        <x:v>CentileBrain panel-adjusted BAG</x:v>
      </x:c>
      <x:c r="E22" s="12" t="n">
        <x:v>56</x:v>
      </x:c>
      <x:c r="F22" s="5" t="n">
        <x:v>22.678571428571427</x:v>
      </x:c>
      <x:c r="G22" s="5" t="n">
        <x:v>3.6735276227088853</x:v>
      </x:c>
      <x:c r="H22" s="5" t="n">
        <x:v>18</x:v>
      </x:c>
      <x:c r="I22" s="5" t="n">
        <x:v>32</x:v>
      </x:c>
      <x:c r="J22" s="5" t="n">
        <x:v>2.0836188890031098</x:v>
      </x:c>
      <x:c r="K22" s="5" t="n">
        <x:v>3.569948790110473</x:v>
      </x:c>
      <x:c r="L22" s="5" t="n">
        <x:v>3.3954650141112483</x:v>
      </x:c>
    </x:row>
    <x:row r="23" ht="32" customHeight="1">
      <x:c r="A23" s="10" t="str">
        <x:v>Chilean</x:v>
      </x:c>
      <x:c r="B23" s="10" t="str">
        <x:v>Male</x:v>
      </x:c>
      <x:c r="C23" s="10" t="str">
        <x:v>5-40</x:v>
      </x:c>
      <x:c r="D23" s="11" t="str">
        <x:v>Training-reference 10-year bucket-adjusted BAG</x:v>
      </x:c>
      <x:c r="E23" s="12" t="n">
        <x:v>56</x:v>
      </x:c>
      <x:c r="F23" s="5" t="n">
        <x:v>22.678571428571427</x:v>
      </x:c>
      <x:c r="G23" s="5" t="n">
        <x:v>3.6735276227088853</x:v>
      </x:c>
      <x:c r="H23" s="5" t="n">
        <x:v>18</x:v>
      </x:c>
      <x:c r="I23" s="5" t="n">
        <x:v>32</x:v>
      </x:c>
      <x:c r="J23" s="5" t="n">
        <x:v>1.714219155559697</x:v>
      </x:c>
      <x:c r="K23" s="5" t="n">
        <x:v>3.769461033666317</x:v>
      </x:c>
      <x:c r="L23" s="5" t="n">
        <x:v>3.4222029926074287</x:v>
      </x:c>
    </x:row>
    <x:row r="24" ht="32" customHeight="1">
      <x:c r="A24" s="10" t="str">
        <x:v>Chilean</x:v>
      </x:c>
      <x:c r="B24" s="10" t="str">
        <x:v>Male</x:v>
      </x:c>
      <x:c r="C24" s="10" t="str">
        <x:v>5-40</x:v>
      </x:c>
      <x:c r="D24" s="11" t="str">
        <x:v>Training-reference 5-year bucket-adjusted BAG</x:v>
      </x:c>
      <x:c r="E24" s="12" t="n">
        <x:v>56</x:v>
      </x:c>
      <x:c r="F24" s="5" t="n">
        <x:v>22.678571428571427</x:v>
      </x:c>
      <x:c r="G24" s="5" t="n">
        <x:v>3.6735276227088853</x:v>
      </x:c>
      <x:c r="H24" s="5" t="n">
        <x:v>18</x:v>
      </x:c>
      <x:c r="I24" s="5" t="n">
        <x:v>32</x:v>
      </x:c>
      <x:c r="J24" s="5" t="n">
        <x:v>1.6990183454530388</x:v>
      </x:c>
      <x:c r="K24" s="5" t="n">
        <x:v>3.739485534099036</x:v>
      </x:c>
      <x:c r="L24" s="5" t="n">
        <x:v>3.397048206160314</x:v>
      </x:c>
    </x:row>
    <x:row r="25" ht="32" customHeight="1">
      <x:c r="A25" s="10" t="str">
        <x:v>Chilean</x:v>
      </x:c>
      <x:c r="B25" s="10" t="str">
        <x:v>Male</x:v>
      </x:c>
      <x:c r="C25" s="10" t="str">
        <x:v>5-40</x:v>
      </x:c>
      <x:c r="D25" s="11" t="str">
        <x:v>BrainAGE_S (cohort age-trend adjusted BAG)</x:v>
      </x:c>
      <x:c r="E25" s="12" t="n">
        <x:v>56</x:v>
      </x:c>
      <x:c r="F25" s="5" t="n">
        <x:v>22.678571428571427</x:v>
      </x:c>
      <x:c r="G25" s="5" t="n">
        <x:v>3.6735276227088853</x:v>
      </x:c>
      <x:c r="H25" s="5" t="n">
        <x:v>18</x:v>
      </x:c>
      <x:c r="I25" s="5" t="n">
        <x:v>32</x:v>
      </x:c>
      <x:c r="J25" s="5" t="n">
        <x:v>2.0836188890031098</x:v>
      </x:c>
      <x:c r="K25" s="5" t="n">
        <x:v>3.526044622309917</x:v>
      </x:c>
      <x:c r="L25" s="5" t="n">
        <x:v>3.3581873752644458</x:v>
      </x:c>
    </x:row>
    <x:row r="26" ht="32" customHeight="1">
      <x:c r="A26" s="10" t="str">
        <x:v>Chinese</x:v>
      </x:c>
      <x:c r="B26" s="10" t="str">
        <x:v>Female</x:v>
      </x:c>
      <x:c r="C26" s="10" t="str">
        <x:v>5-40</x:v>
      </x:c>
      <x:c r="D26" s="11" t="str">
        <x:v>Raw CentileBrain BAG</x:v>
      </x:c>
      <x:c r="E26" s="12" t="n">
        <x:v>547</x:v>
      </x:c>
      <x:c r="F26" s="5" t="n">
        <x:v>21.758683729433272</x:v>
      </x:c>
      <x:c r="G26" s="5" t="n">
        <x:v>3.899409707437319</x:v>
      </x:c>
      <x:c r="H26" s="5" t="n">
        <x:v>17</x:v>
      </x:c>
      <x:c r="I26" s="5" t="n">
        <x:v>39</x:v>
      </x:c>
      <x:c r="J26" s="5" t="n">
        <x:v>0.9317792001265633</x:v>
      </x:c>
      <x:c r="K26" s="5" t="n">
        <x:v>4.119193109877572</x:v>
      </x:c>
      <x:c r="L26" s="5" t="n">
        <x:v>3.2108876735995295</x:v>
      </x:c>
    </x:row>
    <x:row r="27" ht="32" customHeight="1">
      <x:c r="A27" s="10" t="str">
        <x:v>Chinese</x:v>
      </x:c>
      <x:c r="B27" s="10" t="str">
        <x:v>Female</x:v>
      </x:c>
      <x:c r="C27" s="10" t="str">
        <x:v>5-40</x:v>
      </x:c>
      <x:c r="D27" s="11" t="str">
        <x:v>CentileBrain panel-adjusted BAG</x:v>
      </x:c>
      <x:c r="E27" s="12" t="n">
        <x:v>547</x:v>
      </x:c>
      <x:c r="F27" s="5" t="n">
        <x:v>21.758683729433272</x:v>
      </x:c>
      <x:c r="G27" s="5" t="n">
        <x:v>3.899409707437319</x:v>
      </x:c>
      <x:c r="H27" s="5" t="n">
        <x:v>17</x:v>
      </x:c>
      <x:c r="I27" s="5" t="n">
        <x:v>39</x:v>
      </x:c>
      <x:c r="J27" s="5" t="n">
        <x:v>2.167043180506354</x:v>
      </x:c>
      <x:c r="K27" s="5" t="n">
        <x:v>3.031332643480401</x:v>
      </x:c>
      <x:c r="L27" s="5" t="n">
        <x:v>2.988168294188121</x:v>
      </x:c>
    </x:row>
    <x:row r="28" ht="32" customHeight="1">
      <x:c r="A28" s="10" t="str">
        <x:v>Chinese</x:v>
      </x:c>
      <x:c r="B28" s="10" t="str">
        <x:v>Female</x:v>
      </x:c>
      <x:c r="C28" s="10" t="str">
        <x:v>5-40</x:v>
      </x:c>
      <x:c r="D28" s="11" t="str">
        <x:v>Training-reference 10-year bucket-adjusted BAG</x:v>
      </x:c>
      <x:c r="E28" s="12" t="n">
        <x:v>547</x:v>
      </x:c>
      <x:c r="F28" s="5" t="n">
        <x:v>21.758683729433272</x:v>
      </x:c>
      <x:c r="G28" s="5" t="n">
        <x:v>3.899409707437319</x:v>
      </x:c>
      <x:c r="H28" s="5" t="n">
        <x:v>17</x:v>
      </x:c>
      <x:c r="I28" s="5" t="n">
        <x:v>39</x:v>
      </x:c>
      <x:c r="J28" s="5" t="n">
        <x:v>1.0586848393578085</x:v>
      </x:c>
      <x:c r="K28" s="5" t="n">
        <x:v>3.4751946286309012</x:v>
      </x:c>
      <x:c r="L28" s="5" t="n">
        <x:v>2.88159966395097</x:v>
      </x:c>
    </x:row>
    <x:row r="29" ht="32" customHeight="1">
      <x:c r="A29" s="10" t="str">
        <x:v>Chinese</x:v>
      </x:c>
      <x:c r="B29" s="10" t="str">
        <x:v>Female</x:v>
      </x:c>
      <x:c r="C29" s="10" t="str">
        <x:v>5-40</x:v>
      </x:c>
      <x:c r="D29" s="11" t="str">
        <x:v>Training-reference 5-year bucket-adjusted BAG</x:v>
      </x:c>
      <x:c r="E29" s="12" t="n">
        <x:v>547</x:v>
      </x:c>
      <x:c r="F29" s="5" t="n">
        <x:v>21.758683729433272</x:v>
      </x:c>
      <x:c r="G29" s="5" t="n">
        <x:v>3.899409707437319</x:v>
      </x:c>
      <x:c r="H29" s="5" t="n">
        <x:v>17</x:v>
      </x:c>
      <x:c r="I29" s="5" t="n">
        <x:v>39</x:v>
      </x:c>
      <x:c r="J29" s="5" t="n">
        <x:v>1.0373619528085152</x:v>
      </x:c>
      <x:c r="K29" s="5" t="n">
        <x:v>3.452065939458471</x:v>
      </x:c>
      <x:c r="L29" s="5" t="n">
        <x:v>2.8582840204240108</x:v>
      </x:c>
    </x:row>
    <x:row r="30" ht="32" customHeight="1">
      <x:c r="A30" s="10" t="str">
        <x:v>Chinese</x:v>
      </x:c>
      <x:c r="B30" s="10" t="str">
        <x:v>Female</x:v>
      </x:c>
      <x:c r="C30" s="10" t="str">
        <x:v>5-40</x:v>
      </x:c>
      <x:c r="D30" s="11" t="str">
        <x:v>BrainAGE_S (cohort age-trend adjusted BAG)</x:v>
      </x:c>
      <x:c r="E30" s="12" t="n">
        <x:v>547</x:v>
      </x:c>
      <x:c r="F30" s="5" t="n">
        <x:v>21.758683729433272</x:v>
      </x:c>
      <x:c r="G30" s="5" t="n">
        <x:v>3.899409707437319</x:v>
      </x:c>
      <x:c r="H30" s="5" t="n">
        <x:v>17</x:v>
      </x:c>
      <x:c r="I30" s="5" t="n">
        <x:v>39</x:v>
      </x:c>
      <x:c r="J30" s="5" t="n">
        <x:v>2.167043180506354</x:v>
      </x:c>
      <x:c r="K30" s="5" t="n">
        <x:v>3.031178049161753</x:v>
      </x:c>
      <x:c r="L30" s="5" t="n">
        <x:v>2.9878020757122123</x:v>
      </x:c>
    </x:row>
    <x:row r="31" ht="32" customHeight="1">
      <x:c r="A31" s="10" t="str">
        <x:v>Chinese</x:v>
      </x:c>
      <x:c r="B31" s="10" t="str">
        <x:v>Female</x:v>
      </x:c>
      <x:c r="C31" s="10" t="str">
        <x:v>40-90</x:v>
      </x:c>
      <x:c r="D31" s="11" t="str">
        <x:v>Raw CentileBrain BAG</x:v>
      </x:c>
      <x:c r="E31" s="12" t="n">
        <x:v>324</x:v>
      </x:c>
      <x:c r="F31" s="5" t="n">
        <x:v>58.56481481481482</x:v>
      </x:c>
      <x:c r="G31" s="5" t="n">
        <x:v>8.311586692095155</x:v>
      </x:c>
      <x:c r="H31" s="5" t="n">
        <x:v>41</x:v>
      </x:c>
      <x:c r="I31" s="5" t="n">
        <x:v>78</x:v>
      </x:c>
      <x:c r="J31" s="5" t="n">
        <x:v>4.353824270456496</x:v>
      </x:c>
      <x:c r="K31" s="5" t="n">
        <x:v>6.384605044422291</x:v>
      </x:c>
      <x:c r="L31" s="5" t="n">
        <x:v>6.167967327673254</x:v>
      </x:c>
    </x:row>
    <x:row r="32" ht="32" customHeight="1">
      <x:c r="A32" s="10" t="str">
        <x:v>Chinese</x:v>
      </x:c>
      <x:c r="B32" s="10" t="str">
        <x:v>Female</x:v>
      </x:c>
      <x:c r="C32" s="10" t="str">
        <x:v>40-90</x:v>
      </x:c>
      <x:c r="D32" s="11" t="str">
        <x:v>CentileBrain panel-adjusted BAG</x:v>
      </x:c>
      <x:c r="E32" s="12" t="n">
        <x:v>324</x:v>
      </x:c>
      <x:c r="F32" s="5" t="n">
        <x:v>58.56481481481482</x:v>
      </x:c>
      <x:c r="G32" s="5" t="n">
        <x:v>8.311586692095155</x:v>
      </x:c>
      <x:c r="H32" s="5" t="n">
        <x:v>41</x:v>
      </x:c>
      <x:c r="I32" s="5" t="n">
        <x:v>78</x:v>
      </x:c>
      <x:c r="J32" s="5" t="n">
        <x:v>2.4327738703834156</x:v>
      </x:c>
      <x:c r="K32" s="5" t="n">
        <x:v>4.340140449705263</x:v>
      </x:c>
      <x:c r="L32" s="5" t="n">
        <x:v>3.891747656538399</x:v>
      </x:c>
    </x:row>
    <x:row r="33" ht="32" customHeight="1">
      <x:c r="A33" s="10" t="str">
        <x:v>Chinese</x:v>
      </x:c>
      <x:c r="B33" s="10" t="str">
        <x:v>Female</x:v>
      </x:c>
      <x:c r="C33" s="10" t="str">
        <x:v>40-90</x:v>
      </x:c>
      <x:c r="D33" s="11" t="str">
        <x:v>Training-reference 10-year bucket-adjusted BAG</x:v>
      </x:c>
      <x:c r="E33" s="12" t="n">
        <x:v>324</x:v>
      </x:c>
      <x:c r="F33" s="5" t="n">
        <x:v>58.56481481481482</x:v>
      </x:c>
      <x:c r="G33" s="5" t="n">
        <x:v>8.311586692095155</x:v>
      </x:c>
      <x:c r="H33" s="5" t="n">
        <x:v>41</x:v>
      </x:c>
      <x:c r="I33" s="5" t="n">
        <x:v>78</x:v>
      </x:c>
      <x:c r="J33" s="5" t="n">
        <x:v>2.746713490881743</x:v>
      </x:c>
      <x:c r="K33" s="5" t="n">
        <x:v>4.4495400001430765</x:v>
      </x:c>
      <x:c r="L33" s="5" t="n">
        <x:v>4.08391767468489</x:v>
      </x:c>
    </x:row>
    <x:row r="34" ht="32" customHeight="1">
      <x:c r="A34" s="10" t="str">
        <x:v>Chinese</x:v>
      </x:c>
      <x:c r="B34" s="10" t="str">
        <x:v>Female</x:v>
      </x:c>
      <x:c r="C34" s="10" t="str">
        <x:v>40-90</x:v>
      </x:c>
      <x:c r="D34" s="11" t="str">
        <x:v>Training-reference 5-year bucket-adjusted BAG</x:v>
      </x:c>
      <x:c r="E34" s="12" t="n">
        <x:v>324</x:v>
      </x:c>
      <x:c r="F34" s="5" t="n">
        <x:v>58.56481481481482</x:v>
      </x:c>
      <x:c r="G34" s="5" t="n">
        <x:v>8.311586692095155</x:v>
      </x:c>
      <x:c r="H34" s="5" t="n">
        <x:v>41</x:v>
      </x:c>
      <x:c r="I34" s="5" t="n">
        <x:v>78</x:v>
      </x:c>
      <x:c r="J34" s="5" t="n">
        <x:v>2.724009507563644</x:v>
      </x:c>
      <x:c r="K34" s="5" t="n">
        <x:v>4.45231887598535</x:v>
      </x:c>
      <x:c r="L34" s="5" t="n">
        <x:v>4.081750885226088</x:v>
      </x:c>
    </x:row>
    <x:row r="35" ht="32" customHeight="1">
      <x:c r="A35" s="10" t="str">
        <x:v>Chinese</x:v>
      </x:c>
      <x:c r="B35" s="10" t="str">
        <x:v>Female</x:v>
      </x:c>
      <x:c r="C35" s="10" t="str">
        <x:v>40-90</x:v>
      </x:c>
      <x:c r="D35" s="11" t="str">
        <x:v>BrainAGE_S (cohort age-trend adjusted BAG)</x:v>
      </x:c>
      <x:c r="E35" s="12" t="n">
        <x:v>324</x:v>
      </x:c>
      <x:c r="F35" s="5" t="n">
        <x:v>58.56481481481482</x:v>
      </x:c>
      <x:c r="G35" s="5" t="n">
        <x:v>8.311586692095155</x:v>
      </x:c>
      <x:c r="H35" s="5" t="n">
        <x:v>41</x:v>
      </x:c>
      <x:c r="I35" s="5" t="n">
        <x:v>78</x:v>
      </x:c>
      <x:c r="J35" s="5" t="n">
        <x:v>2.432773870383415</x:v>
      </x:c>
      <x:c r="K35" s="5" t="n">
        <x:v>4.33066393312887</x:v>
      </x:c>
      <x:c r="L35" s="5" t="n">
        <x:v>3.8914894586764968</x:v>
      </x:c>
    </x:row>
    <x:row r="36" ht="32" customHeight="1">
      <x:c r="A36" s="10" t="str">
        <x:v>Chinese</x:v>
      </x:c>
      <x:c r="B36" s="10" t="str">
        <x:v>Male</x:v>
      </x:c>
      <x:c r="C36" s="10" t="str">
        <x:v>5-40</x:v>
      </x:c>
      <x:c r="D36" s="11" t="str">
        <x:v>Raw CentileBrain BAG</x:v>
      </x:c>
      <x:c r="E36" s="12" t="n">
        <x:v>418</x:v>
      </x:c>
      <x:c r="F36" s="5" t="n">
        <x:v>22.416267942583733</x:v>
      </x:c>
      <x:c r="G36" s="5" t="n">
        <x:v>3.949795665415896</x:v>
      </x:c>
      <x:c r="H36" s="5" t="n">
        <x:v>17</x:v>
      </x:c>
      <x:c r="I36" s="5" t="n">
        <x:v>39</x:v>
      </x:c>
      <x:c r="J36" s="5" t="n">
        <x:v>-0.039777493236012075</x:v>
      </x:c>
      <x:c r="K36" s="5" t="n">
        <x:v>4.369703707730391</x:v>
      </x:c>
      <x:c r="L36" s="5" t="n">
        <x:v>3.229822261122588</x:v>
      </x:c>
    </x:row>
    <x:row r="37" ht="32" customHeight="1">
      <x:c r="A37" s="10" t="str">
        <x:v>Chinese</x:v>
      </x:c>
      <x:c r="B37" s="10" t="str">
        <x:v>Male</x:v>
      </x:c>
      <x:c r="C37" s="10" t="str">
        <x:v>5-40</x:v>
      </x:c>
      <x:c r="D37" s="11" t="str">
        <x:v>CentileBrain panel-adjusted BAG</x:v>
      </x:c>
      <x:c r="E37" s="12" t="n">
        <x:v>418</x:v>
      </x:c>
      <x:c r="F37" s="5" t="n">
        <x:v>22.416267942583733</x:v>
      </x:c>
      <x:c r="G37" s="5" t="n">
        <x:v>3.949795665415896</x:v>
      </x:c>
      <x:c r="H37" s="5" t="n">
        <x:v>17</x:v>
      </x:c>
      <x:c r="I37" s="5" t="n">
        <x:v>39</x:v>
      </x:c>
      <x:c r="J37" s="5" t="n">
        <x:v>0.43703349342736464</x:v>
      </x:c>
      <x:c r="K37" s="5" t="n">
        <x:v>3.573163280031065</x:v>
      </x:c>
      <x:c r="L37" s="5" t="n">
        <x:v>2.8189900498034803</x:v>
      </x:c>
    </x:row>
    <x:row r="38" ht="32" customHeight="1">
      <x:c r="A38" s="10" t="str">
        <x:v>Chinese</x:v>
      </x:c>
      <x:c r="B38" s="10" t="str">
        <x:v>Male</x:v>
      </x:c>
      <x:c r="C38" s="10" t="str">
        <x:v>5-40</x:v>
      </x:c>
      <x:c r="D38" s="11" t="str">
        <x:v>Training-reference 10-year bucket-adjusted BAG</x:v>
      </x:c>
      <x:c r="E38" s="12" t="n">
        <x:v>418</x:v>
      </x:c>
      <x:c r="F38" s="5" t="n">
        <x:v>22.416267942583733</x:v>
      </x:c>
      <x:c r="G38" s="5" t="n">
        <x:v>3.949795665415896</x:v>
      </x:c>
      <x:c r="H38" s="5" t="n">
        <x:v>17</x:v>
      </x:c>
      <x:c r="I38" s="5" t="n">
        <x:v>39</x:v>
      </x:c>
      <x:c r="J38" s="5" t="n">
        <x:v>0.14019274937217666</x:v>
      </x:c>
      <x:c r="K38" s="5" t="n">
        <x:v>3.85315965938574</x:v>
      </x:c>
      <x:c r="L38" s="5" t="n">
        <x:v>2.973109439167698</x:v>
      </x:c>
    </x:row>
    <x:row r="39" ht="32" customHeight="1">
      <x:c r="A39" s="10" t="str">
        <x:v>Chinese</x:v>
      </x:c>
      <x:c r="B39" s="10" t="str">
        <x:v>Male</x:v>
      </x:c>
      <x:c r="C39" s="10" t="str">
        <x:v>5-40</x:v>
      </x:c>
      <x:c r="D39" s="11" t="str">
        <x:v>Training-reference 5-year bucket-adjusted BAG</x:v>
      </x:c>
      <x:c r="E39" s="12" t="n">
        <x:v>418</x:v>
      </x:c>
      <x:c r="F39" s="5" t="n">
        <x:v>22.416267942583733</x:v>
      </x:c>
      <x:c r="G39" s="5" t="n">
        <x:v>3.949795665415896</x:v>
      </x:c>
      <x:c r="H39" s="5" t="n">
        <x:v>17</x:v>
      </x:c>
      <x:c r="I39" s="5" t="n">
        <x:v>39</x:v>
      </x:c>
      <x:c r="J39" s="5" t="n">
        <x:v>0.11513847204895877</x:v>
      </x:c>
      <x:c r="K39" s="5" t="n">
        <x:v>3.8475424925047657</x:v>
      </x:c>
      <x:c r="L39" s="5" t="n">
        <x:v>2.9750112399337176</x:v>
      </x:c>
    </x:row>
    <x:row r="40" ht="32" customHeight="1">
      <x:c r="A40" s="10" t="str">
        <x:v>Chinese</x:v>
      </x:c>
      <x:c r="B40" s="10" t="str">
        <x:v>Male</x:v>
      </x:c>
      <x:c r="C40" s="10" t="str">
        <x:v>5-40</x:v>
      </x:c>
      <x:c r="D40" s="11" t="str">
        <x:v>BrainAGE_S (cohort age-trend adjusted BAG)</x:v>
      </x:c>
      <x:c r="E40" s="12" t="n">
        <x:v>418</x:v>
      </x:c>
      <x:c r="F40" s="5" t="n">
        <x:v>22.416267942583733</x:v>
      </x:c>
      <x:c r="G40" s="5" t="n">
        <x:v>3.949795665415896</x:v>
      </x:c>
      <x:c r="H40" s="5" t="n">
        <x:v>17</x:v>
      </x:c>
      <x:c r="I40" s="5" t="n">
        <x:v>39</x:v>
      </x:c>
      <x:c r="J40" s="5" t="n">
        <x:v>0.43703349342736453</x:v>
      </x:c>
      <x:c r="K40" s="5" t="n">
        <x:v>3.497457399951015</x:v>
      </x:c>
      <x:c r="L40" s="5" t="n">
        <x:v>2.7749034007664446</x:v>
      </x:c>
    </x:row>
    <x:row r="41" ht="32" customHeight="1">
      <x:c r="A41" s="10" t="str">
        <x:v>Chinese</x:v>
      </x:c>
      <x:c r="B41" s="10" t="str">
        <x:v>Male</x:v>
      </x:c>
      <x:c r="C41" s="10" t="str">
        <x:v>40-90</x:v>
      </x:c>
      <x:c r="D41" s="11" t="str">
        <x:v>Raw CentileBrain BAG</x:v>
      </x:c>
      <x:c r="E41" s="12" t="n">
        <x:v>194</x:v>
      </x:c>
      <x:c r="F41" s="5" t="n">
        <x:v>60.41752577319588</x:v>
      </x:c>
      <x:c r="G41" s="5" t="n">
        <x:v>8.267916771018738</x:v>
      </x:c>
      <x:c r="H41" s="5" t="n">
        <x:v>41</x:v>
      </x:c>
      <x:c r="I41" s="5" t="n">
        <x:v>80</x:v>
      </x:c>
      <x:c r="J41" s="5" t="n">
        <x:v>3.057810147431758</x:v>
      </x:c>
      <x:c r="K41" s="5" t="n">
        <x:v>6.504799301607256</x:v>
      </x:c>
      <x:c r="L41" s="5" t="n">
        <x:v>5.612020182531714</x:v>
      </x:c>
    </x:row>
    <x:row r="42" ht="32" customHeight="1">
      <x:c r="A42" s="10" t="str">
        <x:v>Chinese</x:v>
      </x:c>
      <x:c r="B42" s="10" t="str">
        <x:v>Male</x:v>
      </x:c>
      <x:c r="C42" s="10" t="str">
        <x:v>40-90</x:v>
      </x:c>
      <x:c r="D42" s="11" t="str">
        <x:v>CentileBrain panel-adjusted BAG</x:v>
      </x:c>
      <x:c r="E42" s="12" t="n">
        <x:v>194</x:v>
      </x:c>
      <x:c r="F42" s="5" t="n">
        <x:v>60.41752577319588</x:v>
      </x:c>
      <x:c r="G42" s="5" t="n">
        <x:v>8.267916771018738</x:v>
      </x:c>
      <x:c r="H42" s="5" t="n">
        <x:v>41</x:v>
      </x:c>
      <x:c r="I42" s="5" t="n">
        <x:v>80</x:v>
      </x:c>
      <x:c r="J42" s="5" t="n">
        <x:v>2.2009086108233555</x:v>
      </x:c>
      <x:c r="K42" s="5" t="n">
        <x:v>4.349160377813303</x:v>
      </x:c>
      <x:c r="L42" s="5" t="n">
        <x:v>3.7867289595906723</x:v>
      </x:c>
    </x:row>
    <x:row r="43" ht="32" customHeight="1">
      <x:c r="A43" s="10" t="str">
        <x:v>Chinese</x:v>
      </x:c>
      <x:c r="B43" s="10" t="str">
        <x:v>Male</x:v>
      </x:c>
      <x:c r="C43" s="10" t="str">
        <x:v>40-90</x:v>
      </x:c>
      <x:c r="D43" s="11" t="str">
        <x:v>Training-reference 10-year bucket-adjusted BAG</x:v>
      </x:c>
      <x:c r="E43" s="12" t="n">
        <x:v>194</x:v>
      </x:c>
      <x:c r="F43" s="5" t="n">
        <x:v>60.41752577319588</x:v>
      </x:c>
      <x:c r="G43" s="5" t="n">
        <x:v>8.267916771018738</x:v>
      </x:c>
      <x:c r="H43" s="5" t="n">
        <x:v>41</x:v>
      </x:c>
      <x:c r="I43" s="5" t="n">
        <x:v>80</x:v>
      </x:c>
      <x:c r="J43" s="5" t="n">
        <x:v>2.3916009932637086</x:v>
      </x:c>
      <x:c r="K43" s="5" t="n">
        <x:v>4.613912639451942</x:v>
      </x:c>
      <x:c r="L43" s="5" t="n">
        <x:v>4.030963472919135</x:v>
      </x:c>
    </x:row>
    <x:row r="44" ht="32" customHeight="1">
      <x:c r="A44" s="10" t="str">
        <x:v>Chinese</x:v>
      </x:c>
      <x:c r="B44" s="10" t="str">
        <x:v>Male</x:v>
      </x:c>
      <x:c r="C44" s="10" t="str">
        <x:v>40-90</x:v>
      </x:c>
      <x:c r="D44" s="11" t="str">
        <x:v>Training-reference 5-year bucket-adjusted BAG</x:v>
      </x:c>
      <x:c r="E44" s="12" t="n">
        <x:v>194</x:v>
      </x:c>
      <x:c r="F44" s="5" t="n">
        <x:v>60.41752577319588</x:v>
      </x:c>
      <x:c r="G44" s="5" t="n">
        <x:v>8.267916771018738</x:v>
      </x:c>
      <x:c r="H44" s="5" t="n">
        <x:v>41</x:v>
      </x:c>
      <x:c r="I44" s="5" t="n">
        <x:v>80</x:v>
      </x:c>
      <x:c r="J44" s="5" t="n">
        <x:v>2.3855115945447647</x:v>
      </x:c>
      <x:c r="K44" s="5" t="n">
        <x:v>4.633472983117586</x:v>
      </x:c>
      <x:c r="L44" s="5" t="n">
        <x:v>4.041826965442869</x:v>
      </x:c>
    </x:row>
    <x:row r="45" ht="32" customHeight="1">
      <x:c r="A45" s="10" t="str">
        <x:v>Chinese</x:v>
      </x:c>
      <x:c r="B45" s="10" t="str">
        <x:v>Male</x:v>
      </x:c>
      <x:c r="C45" s="10" t="str">
        <x:v>40-90</x:v>
      </x:c>
      <x:c r="D45" s="11" t="str">
        <x:v>BrainAGE_S (cohort age-trend adjusted BAG)</x:v>
      </x:c>
      <x:c r="E45" s="12" t="n">
        <x:v>194</x:v>
      </x:c>
      <x:c r="F45" s="5" t="n">
        <x:v>60.41752577319588</x:v>
      </x:c>
      <x:c r="G45" s="5" t="n">
        <x:v>8.267916771018738</x:v>
      </x:c>
      <x:c r="H45" s="5" t="n">
        <x:v>41</x:v>
      </x:c>
      <x:c r="I45" s="5" t="n">
        <x:v>80</x:v>
      </x:c>
      <x:c r="J45" s="5" t="n">
        <x:v>2.2009086108233555</x:v>
      </x:c>
      <x:c r="K45" s="5" t="n">
        <x:v>4.221074540995819</x:v>
      </x:c>
      <x:c r="L45" s="5" t="n">
        <x:v>3.739850584091399</x:v>
      </x:c>
    </x:row>
    <x:row r="46" ht="32" customHeight="1">
      <x:c r="A46" s="10" t="str">
        <x:v>Japanese</x:v>
      </x:c>
      <x:c r="B46" s="10" t="str">
        <x:v>Female</x:v>
      </x:c>
      <x:c r="C46" s="10" t="str">
        <x:v>5-40</x:v>
      </x:c>
      <x:c r="D46" s="11" t="str">
        <x:v>Raw CentileBrain BAG</x:v>
      </x:c>
      <x:c r="E46" s="12" t="n">
        <x:v>216</x:v>
      </x:c>
      <x:c r="F46" s="5" t="n">
        <x:v>26.99537037037037</x:v>
      </x:c>
      <x:c r="G46" s="5" t="n">
        <x:v>6.607604980862431</x:v>
      </x:c>
      <x:c r="H46" s="5" t="n">
        <x:v>18</x:v>
      </x:c>
      <x:c r="I46" s="5" t="n">
        <x:v>40</x:v>
      </x:c>
      <x:c r="J46" s="5" t="n">
        <x:v>-3.9539056203472462</x:v>
      </x:c>
      <x:c r="K46" s="5" t="n">
        <x:v>5.6730467179119035</x:v>
      </x:c>
      <x:c r="L46" s="5" t="n">
        <x:v>5.166655728010373</x:v>
      </x:c>
    </x:row>
    <x:row r="47" ht="32" customHeight="1">
      <x:c r="A47" s="10" t="str">
        <x:v>Japanese</x:v>
      </x:c>
      <x:c r="B47" s="10" t="str">
        <x:v>Female</x:v>
      </x:c>
      <x:c r="C47" s="10" t="str">
        <x:v>5-40</x:v>
      </x:c>
      <x:c r="D47" s="11" t="str">
        <x:v>CentileBrain panel-adjusted BAG</x:v>
      </x:c>
      <x:c r="E47" s="12" t="n">
        <x:v>216</x:v>
      </x:c>
      <x:c r="F47" s="5" t="n">
        <x:v>26.99537037037037</x:v>
      </x:c>
      <x:c r="G47" s="5" t="n">
        <x:v>6.607604980862431</x:v>
      </x:c>
      <x:c r="H47" s="5" t="n">
        <x:v>18</x:v>
      </x:c>
      <x:c r="I47" s="5" t="n">
        <x:v>40</x:v>
      </x:c>
      <x:c r="J47" s="5" t="n">
        <x:v>-1.1770276397723825</x:v>
      </x:c>
      <x:c r="K47" s="5" t="n">
        <x:v>3.0201601808075784</x:v>
      </x:c>
      <x:c r="L47" s="5" t="n">
        <x:v>2.5509903048576636</x:v>
      </x:c>
    </x:row>
    <x:row r="48" ht="32" customHeight="1">
      <x:c r="A48" s="10" t="str">
        <x:v>Japanese</x:v>
      </x:c>
      <x:c r="B48" s="10" t="str">
        <x:v>Female</x:v>
      </x:c>
      <x:c r="C48" s="10" t="str">
        <x:v>5-40</x:v>
      </x:c>
      <x:c r="D48" s="11" t="str">
        <x:v>Training-reference 10-year bucket-adjusted BAG</x:v>
      </x:c>
      <x:c r="E48" s="12" t="n">
        <x:v>216</x:v>
      </x:c>
      <x:c r="F48" s="5" t="n">
        <x:v>26.99537037037037</x:v>
      </x:c>
      <x:c r="G48" s="5" t="n">
        <x:v>6.607604980862431</x:v>
      </x:c>
      <x:c r="H48" s="5" t="n">
        <x:v>18</x:v>
      </x:c>
      <x:c r="I48" s="5" t="n">
        <x:v>40</x:v>
      </x:c>
      <x:c r="J48" s="5" t="n">
        <x:v>-2.253324408070714</x:v>
      </x:c>
      <x:c r="K48" s="5" t="n">
        <x:v>3.726148271632266</x:v>
      </x:c>
      <x:c r="L48" s="5" t="n">
        <x:v>3.454550089933977</x:v>
      </x:c>
    </x:row>
    <x:row r="49" ht="32" customHeight="1">
      <x:c r="A49" s="10" t="str">
        <x:v>Japanese</x:v>
      </x:c>
      <x:c r="B49" s="10" t="str">
        <x:v>Female</x:v>
      </x:c>
      <x:c r="C49" s="10" t="str">
        <x:v>5-40</x:v>
      </x:c>
      <x:c r="D49" s="11" t="str">
        <x:v>Training-reference 5-year bucket-adjusted BAG</x:v>
      </x:c>
      <x:c r="E49" s="12" t="n">
        <x:v>216</x:v>
      </x:c>
      <x:c r="F49" s="5" t="n">
        <x:v>26.99537037037037</x:v>
      </x:c>
      <x:c r="G49" s="5" t="n">
        <x:v>6.607604980862431</x:v>
      </x:c>
      <x:c r="H49" s="5" t="n">
        <x:v>18</x:v>
      </x:c>
      <x:c r="I49" s="5" t="n">
        <x:v>40</x:v>
      </x:c>
      <x:c r="J49" s="5" t="n">
        <x:v>-2.2469692421664385</x:v>
      </x:c>
      <x:c r="K49" s="5" t="n">
        <x:v>3.719084530899763</x:v>
      </x:c>
      <x:c r="L49" s="5" t="n">
        <x:v>3.4531717097983408</x:v>
      </x:c>
    </x:row>
    <x:row r="50" ht="32" customHeight="1">
      <x:c r="A50" s="10" t="str">
        <x:v>Japanese</x:v>
      </x:c>
      <x:c r="B50" s="10" t="str">
        <x:v>Female</x:v>
      </x:c>
      <x:c r="C50" s="10" t="str">
        <x:v>5-40</x:v>
      </x:c>
      <x:c r="D50" s="11" t="str">
        <x:v>BrainAGE_S (cohort age-trend adjusted BAG)</x:v>
      </x:c>
      <x:c r="E50" s="12" t="n">
        <x:v>216</x:v>
      </x:c>
      <x:c r="F50" s="5" t="n">
        <x:v>26.99537037037037</x:v>
      </x:c>
      <x:c r="G50" s="5" t="n">
        <x:v>6.607604980862431</x:v>
      </x:c>
      <x:c r="H50" s="5" t="n">
        <x:v>18</x:v>
      </x:c>
      <x:c r="I50" s="5" t="n">
        <x:v>40</x:v>
      </x:c>
      <x:c r="J50" s="5" t="n">
        <x:v>-1.1770276397723825</x:v>
      </x:c>
      <x:c r="K50" s="5" t="n">
        <x:v>2.6970979925617713</x:v>
      </x:c>
      <x:c r="L50" s="5" t="n">
        <x:v>2.317100597790466</x:v>
      </x:c>
    </x:row>
    <x:row r="51" ht="32" customHeight="1">
      <x:c r="A51" s="10" t="str">
        <x:v>Japanese</x:v>
      </x:c>
      <x:c r="B51" s="10" t="str">
        <x:v>Female</x:v>
      </x:c>
      <x:c r="C51" s="10" t="str">
        <x:v>40-90</x:v>
      </x:c>
      <x:c r="D51" s="11" t="str">
        <x:v>Raw CentileBrain BAG</x:v>
      </x:c>
      <x:c r="E51" s="12" t="n">
        <x:v>187</x:v>
      </x:c>
      <x:c r="F51" s="5" t="n">
        <x:v>53.25133689839572</x:v>
      </x:c>
      <x:c r="G51" s="5" t="n">
        <x:v>9.62389140823514</x:v>
      </x:c>
      <x:c r="H51" s="5" t="n">
        <x:v>41</x:v>
      </x:c>
      <x:c r="I51" s="5" t="n">
        <x:v>79</x:v>
      </x:c>
      <x:c r="J51" s="5" t="n">
        <x:v>8.550952299348932</x:v>
      </x:c>
      <x:c r="K51" s="5" t="n">
        <x:v>7.815278565093218</x:v>
      </x:c>
      <x:c r="L51" s="5" t="n">
        <x:v>9.939435859279072</x:v>
      </x:c>
    </x:row>
    <x:row r="52" ht="32" customHeight="1">
      <x:c r="A52" s="10" t="str">
        <x:v>Japanese</x:v>
      </x:c>
      <x:c r="B52" s="10" t="str">
        <x:v>Female</x:v>
      </x:c>
      <x:c r="C52" s="10" t="str">
        <x:v>40-90</x:v>
      </x:c>
      <x:c r="D52" s="11" t="str">
        <x:v>CentileBrain panel-adjusted BAG</x:v>
      </x:c>
      <x:c r="E52" s="12" t="n">
        <x:v>187</x:v>
      </x:c>
      <x:c r="F52" s="5" t="n">
        <x:v>53.25133689839572</x:v>
      </x:c>
      <x:c r="G52" s="5" t="n">
        <x:v>9.62389140823514</x:v>
      </x:c>
      <x:c r="H52" s="5" t="n">
        <x:v>41</x:v>
      </x:c>
      <x:c r="I52" s="5" t="n">
        <x:v>79</x:v>
      </x:c>
      <x:c r="J52" s="5" t="n">
        <x:v>3.377495193717641</x:v>
      </x:c>
      <x:c r="K52" s="5" t="n">
        <x:v>4.379184553745139</x:v>
      </x:c>
      <x:c r="L52" s="5" t="n">
        <x:v>4.5620768698629055</x:v>
      </x:c>
    </x:row>
    <x:row r="53" ht="32" customHeight="1">
      <x:c r="A53" s="10" t="str">
        <x:v>Japanese</x:v>
      </x:c>
      <x:c r="B53" s="10" t="str">
        <x:v>Female</x:v>
      </x:c>
      <x:c r="C53" s="10" t="str">
        <x:v>40-90</x:v>
      </x:c>
      <x:c r="D53" s="11" t="str">
        <x:v>Training-reference 10-year bucket-adjusted BAG</x:v>
      </x:c>
      <x:c r="E53" s="12" t="n">
        <x:v>187</x:v>
      </x:c>
      <x:c r="F53" s="5" t="n">
        <x:v>53.25133689839572</x:v>
      </x:c>
      <x:c r="G53" s="5" t="n">
        <x:v>9.62389140823514</x:v>
      </x:c>
      <x:c r="H53" s="5" t="n">
        <x:v>41</x:v>
      </x:c>
      <x:c r="I53" s="5" t="n">
        <x:v>79</x:v>
      </x:c>
      <x:c r="J53" s="5" t="n">
        <x:v>4.314855308870156</x:v>
      </x:c>
      <x:c r="K53" s="5" t="n">
        <x:v>4.757174569095594</x:v>
      </x:c>
      <x:c r="L53" s="5" t="n">
        <x:v>5.377487413297806</x:v>
      </x:c>
    </x:row>
    <x:row r="54" ht="32" customHeight="1">
      <x:c r="A54" s="10" t="str">
        <x:v>Japanese</x:v>
      </x:c>
      <x:c r="B54" s="10" t="str">
        <x:v>Female</x:v>
      </x:c>
      <x:c r="C54" s="10" t="str">
        <x:v>40-90</x:v>
      </x:c>
      <x:c r="D54" s="11" t="str">
        <x:v>Training-reference 5-year bucket-adjusted BAG</x:v>
      </x:c>
      <x:c r="E54" s="12" t="n">
        <x:v>187</x:v>
      </x:c>
      <x:c r="F54" s="5" t="n">
        <x:v>53.25133689839572</x:v>
      </x:c>
      <x:c r="G54" s="5" t="n">
        <x:v>9.62389140823514</x:v>
      </x:c>
      <x:c r="H54" s="5" t="n">
        <x:v>41</x:v>
      </x:c>
      <x:c r="I54" s="5" t="n">
        <x:v>79</x:v>
      </x:c>
      <x:c r="J54" s="5" t="n">
        <x:v>4.253548054870651</x:v>
      </x:c>
      <x:c r="K54" s="5" t="n">
        <x:v>4.762492247384584</x:v>
      </x:c>
      <x:c r="L54" s="5" t="n">
        <x:v>5.336612136386521</x:v>
      </x:c>
    </x:row>
    <x:row r="55" ht="32" customHeight="1">
      <x:c r="A55" s="10" t="str">
        <x:v>Japanese</x:v>
      </x:c>
      <x:c r="B55" s="10" t="str">
        <x:v>Female</x:v>
      </x:c>
      <x:c r="C55" s="10" t="str">
        <x:v>40-90</x:v>
      </x:c>
      <x:c r="D55" s="11" t="str">
        <x:v>BrainAGE_S (cohort age-trend adjusted BAG)</x:v>
      </x:c>
      <x:c r="E55" s="12" t="n">
        <x:v>187</x:v>
      </x:c>
      <x:c r="F55" s="5" t="n">
        <x:v>53.25133689839572</x:v>
      </x:c>
      <x:c r="G55" s="5" t="n">
        <x:v>9.62389140823514</x:v>
      </x:c>
      <x:c r="H55" s="5" t="n">
        <x:v>41</x:v>
      </x:c>
      <x:c r="I55" s="5" t="n">
        <x:v>79</x:v>
      </x:c>
      <x:c r="J55" s="5" t="n">
        <x:v>3.3774951937176403</x:v>
      </x:c>
      <x:c r="K55" s="5" t="n">
        <x:v>4.214806089314829</x:v>
      </x:c>
      <x:c r="L55" s="5" t="n">
        <x:v>4.4214352145840525</x:v>
      </x:c>
    </x:row>
    <x:row r="56" ht="32" customHeight="1">
      <x:c r="A56" s="10" t="str">
        <x:v>Japanese</x:v>
      </x:c>
      <x:c r="B56" s="10" t="str">
        <x:v>Male</x:v>
      </x:c>
      <x:c r="C56" s="10" t="str">
        <x:v>5-40</x:v>
      </x:c>
      <x:c r="D56" s="11" t="str">
        <x:v>Raw CentileBrain BAG</x:v>
      </x:c>
      <x:c r="E56" s="12" t="n">
        <x:v>389</x:v>
      </x:c>
      <x:c r="F56" s="5" t="n">
        <x:v>26.23393316195373</x:v>
      </x:c>
      <x:c r="G56" s="5" t="n">
        <x:v>6.04572612146195</x:v>
      </x:c>
      <x:c r="H56" s="5" t="n">
        <x:v>19</x:v>
      </x:c>
      <x:c r="I56" s="5" t="n">
        <x:v>40</x:v>
      </x:c>
      <x:c r="J56" s="5" t="n">
        <x:v>-3.131714368598809</x:v>
      </x:c>
      <x:c r="K56" s="5" t="n">
        <x:v>5.494961655323291</x:v>
      </x:c>
      <x:c r="L56" s="5" t="n">
        <x:v>4.849478939301972</x:v>
      </x:c>
    </x:row>
    <x:row r="57" ht="32" customHeight="1">
      <x:c r="A57" s="10" t="str">
        <x:v>Japanese</x:v>
      </x:c>
      <x:c r="B57" s="10" t="str">
        <x:v>Male</x:v>
      </x:c>
      <x:c r="C57" s="10" t="str">
        <x:v>5-40</x:v>
      </x:c>
      <x:c r="D57" s="11" t="str">
        <x:v>CentileBrain panel-adjusted BAG</x:v>
      </x:c>
      <x:c r="E57" s="12" t="n">
        <x:v>389</x:v>
      </x:c>
      <x:c r="F57" s="5" t="n">
        <x:v>26.23393316195373</x:v>
      </x:c>
      <x:c r="G57" s="5" t="n">
        <x:v>6.04572612146195</x:v>
      </x:c>
      <x:c r="H57" s="5" t="n">
        <x:v>19</x:v>
      </x:c>
      <x:c r="I57" s="5" t="n">
        <x:v>40</x:v>
      </x:c>
      <x:c r="J57" s="5" t="n">
        <x:v>-0.7710055069016482</x:v>
      </x:c>
      <x:c r="K57" s="5" t="n">
        <x:v>3.4202229201318946</x:v>
      </x:c>
      <x:c r="L57" s="5" t="n">
        <x:v>2.8147303570724316</x:v>
      </x:c>
    </x:row>
    <x:row r="58" ht="32" customHeight="1">
      <x:c r="A58" s="10" t="str">
        <x:v>Japanese</x:v>
      </x:c>
      <x:c r="B58" s="10" t="str">
        <x:v>Male</x:v>
      </x:c>
      <x:c r="C58" s="10" t="str">
        <x:v>5-40</x:v>
      </x:c>
      <x:c r="D58" s="11" t="str">
        <x:v>Training-reference 10-year bucket-adjusted BAG</x:v>
      </x:c>
      <x:c r="E58" s="12" t="n">
        <x:v>389</x:v>
      </x:c>
      <x:c r="F58" s="5" t="n">
        <x:v>26.23393316195373</x:v>
      </x:c>
      <x:c r="G58" s="5" t="n">
        <x:v>6.04572612146195</x:v>
      </x:c>
      <x:c r="H58" s="5" t="n">
        <x:v>19</x:v>
      </x:c>
      <x:c r="I58" s="5" t="n">
        <x:v>40</x:v>
      </x:c>
      <x:c r="J58" s="5" t="n">
        <x:v>-1.8520242597289251</x:v>
      </x:c>
      <x:c r="K58" s="5" t="n">
        <x:v>3.99755599100814</x:v>
      </x:c>
      <x:c r="L58" s="5" t="n">
        <x:v>3.556054481042937</x:v>
      </x:c>
    </x:row>
    <x:row r="59" ht="32" customHeight="1">
      <x:c r="A59" s="10" t="str">
        <x:v>Japanese</x:v>
      </x:c>
      <x:c r="B59" s="10" t="str">
        <x:v>Male</x:v>
      </x:c>
      <x:c r="C59" s="10" t="str">
        <x:v>5-40</x:v>
      </x:c>
      <x:c r="D59" s="11" t="str">
        <x:v>Training-reference 5-year bucket-adjusted BAG</x:v>
      </x:c>
      <x:c r="E59" s="12" t="n">
        <x:v>389</x:v>
      </x:c>
      <x:c r="F59" s="5" t="n">
        <x:v>26.23393316195373</x:v>
      </x:c>
      <x:c r="G59" s="5" t="n">
        <x:v>6.04572612146195</x:v>
      </x:c>
      <x:c r="H59" s="5" t="n">
        <x:v>19</x:v>
      </x:c>
      <x:c r="I59" s="5" t="n">
        <x:v>40</x:v>
      </x:c>
      <x:c r="J59" s="5" t="n">
        <x:v>-1.8369484055921583</x:v>
      </x:c>
      <x:c r="K59" s="5" t="n">
        <x:v>3.9838792560493523</x:v>
      </x:c>
      <x:c r="L59" s="5" t="n">
        <x:v>3.544356355374598</x:v>
      </x:c>
    </x:row>
    <x:row r="60" ht="32" customHeight="1">
      <x:c r="A60" s="10" t="str">
        <x:v>Japanese</x:v>
      </x:c>
      <x:c r="B60" s="10" t="str">
        <x:v>Male</x:v>
      </x:c>
      <x:c r="C60" s="10" t="str">
        <x:v>5-40</x:v>
      </x:c>
      <x:c r="D60" s="11" t="str">
        <x:v>BrainAGE_S (cohort age-trend adjusted BAG)</x:v>
      </x:c>
      <x:c r="E60" s="12" t="n">
        <x:v>389</x:v>
      </x:c>
      <x:c r="F60" s="5" t="n">
        <x:v>26.23393316195373</x:v>
      </x:c>
      <x:c r="G60" s="5" t="n">
        <x:v>6.04572612146195</x:v>
      </x:c>
      <x:c r="H60" s="5" t="n">
        <x:v>19</x:v>
      </x:c>
      <x:c r="I60" s="5" t="n">
        <x:v>40</x:v>
      </x:c>
      <x:c r="J60" s="5" t="n">
        <x:v>-0.7710055069016485</x:v>
      </x:c>
      <x:c r="K60" s="5" t="n">
        <x:v>3.24876988434939</x:v>
      </x:c>
      <x:c r="L60" s="5" t="n">
        <x:v>2.644986065627257</x:v>
      </x:c>
    </x:row>
    <x:row r="61" ht="32" customHeight="1">
      <x:c r="A61" s="10" t="str">
        <x:v>Japanese</x:v>
      </x:c>
      <x:c r="B61" s="10" t="str">
        <x:v>Male</x:v>
      </x:c>
      <x:c r="C61" s="10" t="str">
        <x:v>40-90</x:v>
      </x:c>
      <x:c r="D61" s="11" t="str">
        <x:v>Raw CentileBrain BAG</x:v>
      </x:c>
      <x:c r="E61" s="12" t="n">
        <x:v>128</x:v>
      </x:c>
      <x:c r="F61" s="5" t="n">
        <x:v>54.3984375</x:v>
      </x:c>
      <x:c r="G61" s="5" t="n">
        <x:v>9.978196579953162</x:v>
      </x:c>
      <x:c r="H61" s="5" t="n">
        <x:v>41</x:v>
      </x:c>
      <x:c r="I61" s="5" t="n">
        <x:v>80</x:v>
      </x:c>
      <x:c r="J61" s="5" t="n">
        <x:v>7.169466612132491</x:v>
      </x:c>
      <x:c r="K61" s="5" t="n">
        <x:v>7.722979427688234</x:v>
      </x:c>
      <x:c r="L61" s="5" t="n">
        <x:v>8.823695079753929</x:v>
      </x:c>
    </x:row>
    <x:row r="62" ht="32" customHeight="1">
      <x:c r="A62" s="10" t="str">
        <x:v>Japanese</x:v>
      </x:c>
      <x:c r="B62" s="10" t="str">
        <x:v>Male</x:v>
      </x:c>
      <x:c r="C62" s="10" t="str">
        <x:v>40-90</x:v>
      </x:c>
      <x:c r="D62" s="11" t="str">
        <x:v>CentileBrain panel-adjusted BAG</x:v>
      </x:c>
      <x:c r="E62" s="12" t="n">
        <x:v>128</x:v>
      </x:c>
      <x:c r="F62" s="5" t="n">
        <x:v>54.3984375</x:v>
      </x:c>
      <x:c r="G62" s="5" t="n">
        <x:v>9.978196579953162</x:v>
      </x:c>
      <x:c r="H62" s="5" t="n">
        <x:v>41</x:v>
      </x:c>
      <x:c r="I62" s="5" t="n">
        <x:v>80</x:v>
      </x:c>
      <x:c r="J62" s="5" t="n">
        <x:v>3.2392280393425645</x:v>
      </x:c>
      <x:c r="K62" s="5" t="n">
        <x:v>4.462479311130584</x:v>
      </x:c>
      <x:c r="L62" s="5" t="n">
        <x:v>4.367684813770984</x:v>
      </x:c>
    </x:row>
    <x:row r="63" ht="32" customHeight="1">
      <x:c r="A63" s="10" t="str">
        <x:v>Japanese</x:v>
      </x:c>
      <x:c r="B63" s="10" t="str">
        <x:v>Male</x:v>
      </x:c>
      <x:c r="C63" s="10" t="str">
        <x:v>40-90</x:v>
      </x:c>
      <x:c r="D63" s="11" t="str">
        <x:v>Training-reference 10-year bucket-adjusted BAG</x:v>
      </x:c>
      <x:c r="E63" s="12" t="n">
        <x:v>128</x:v>
      </x:c>
      <x:c r="F63" s="5" t="n">
        <x:v>54.3984375</x:v>
      </x:c>
      <x:c r="G63" s="5" t="n">
        <x:v>9.978196579953162</x:v>
      </x:c>
      <x:c r="H63" s="5" t="n">
        <x:v>41</x:v>
      </x:c>
      <x:c r="I63" s="5" t="n">
        <x:v>80</x:v>
      </x:c>
      <x:c r="J63" s="5" t="n">
        <x:v>4.086836282553097</x:v>
      </x:c>
      <x:c r="K63" s="5" t="n">
        <x:v>4.950673900312026</x:v>
      </x:c>
      <x:c r="L63" s="5" t="n">
        <x:v>5.117527541900619</x:v>
      </x:c>
    </x:row>
    <x:row r="64" ht="32" customHeight="1">
      <x:c r="A64" s="10" t="str">
        <x:v>Japanese</x:v>
      </x:c>
      <x:c r="B64" s="10" t="str">
        <x:v>Male</x:v>
      </x:c>
      <x:c r="C64" s="10" t="str">
        <x:v>40-90</x:v>
      </x:c>
      <x:c r="D64" s="11" t="str">
        <x:v>Training-reference 5-year bucket-adjusted BAG</x:v>
      </x:c>
      <x:c r="E64" s="12" t="n">
        <x:v>128</x:v>
      </x:c>
      <x:c r="F64" s="5" t="n">
        <x:v>54.3984375</x:v>
      </x:c>
      <x:c r="G64" s="5" t="n">
        <x:v>9.978196579953162</x:v>
      </x:c>
      <x:c r="H64" s="5" t="n">
        <x:v>41</x:v>
      </x:c>
      <x:c r="I64" s="5" t="n">
        <x:v>80</x:v>
      </x:c>
      <x:c r="J64" s="5" t="n">
        <x:v>4.2037831091742675</x:v>
      </x:c>
      <x:c r="K64" s="5" t="n">
        <x:v>4.9734070885978126</x:v>
      </x:c>
      <x:c r="L64" s="5" t="n">
        <x:v>5.2413246363880654</x:v>
      </x:c>
    </x:row>
    <x:row r="65" ht="32" customHeight="1">
      <x:c r="A65" s="10" t="str">
        <x:v>Japanese</x:v>
      </x:c>
      <x:c r="B65" s="10" t="str">
        <x:v>Male</x:v>
      </x:c>
      <x:c r="C65" s="10" t="str">
        <x:v>40-90</x:v>
      </x:c>
      <x:c r="D65" s="11" t="str">
        <x:v>BrainAGE_S (cohort age-trend adjusted BAG)</x:v>
      </x:c>
      <x:c r="E65" s="12" t="n">
        <x:v>128</x:v>
      </x:c>
      <x:c r="F65" s="5" t="n">
        <x:v>54.3984375</x:v>
      </x:c>
      <x:c r="G65" s="5" t="n">
        <x:v>9.978196579953162</x:v>
      </x:c>
      <x:c r="H65" s="5" t="n">
        <x:v>41</x:v>
      </x:c>
      <x:c r="I65" s="5" t="n">
        <x:v>80</x:v>
      </x:c>
      <x:c r="J65" s="5" t="n">
        <x:v>3.2392280393425645</x:v>
      </x:c>
      <x:c r="K65" s="5" t="n">
        <x:v>4.1728770493044305</x:v>
      </x:c>
      <x:c r="L65" s="5" t="n">
        <x:v>4.289114695110735</x:v>
      </x:c>
    </x:row>
    <x:row r="66" ht="32" customHeight="1">
      <x:c r="A66" s="10" t="str">
        <x:v>Mexican</x:v>
      </x:c>
      <x:c r="B66" s="10" t="str">
        <x:v>Female</x:v>
      </x:c>
      <x:c r="C66" s="10" t="str">
        <x:v>5-40</x:v>
      </x:c>
      <x:c r="D66" s="11" t="str">
        <x:v>Raw CentileBrain BAG</x:v>
      </x:c>
      <x:c r="E66" s="12" t="n">
        <x:v>106</x:v>
      </x:c>
      <x:c r="F66" s="5" t="n">
        <x:v>24.943396226415093</x:v>
      </x:c>
      <x:c r="G66" s="5" t="n">
        <x:v>5.535737037312316</x:v>
      </x:c>
      <x:c r="H66" s="5" t="n">
        <x:v>17</x:v>
      </x:c>
      <x:c r="I66" s="5" t="n">
        <x:v>40</x:v>
      </x:c>
      <x:c r="J66" s="5" t="n">
        <x:v>-2.5992533806123057</x:v>
      </x:c>
      <x:c r="K66" s="5" t="n">
        <x:v>4.753782310049479</x:v>
      </x:c>
      <x:c r="L66" s="5" t="n">
        <x:v>4.232312020078611</x:v>
      </x:c>
    </x:row>
    <x:row r="67" ht="32" customHeight="1">
      <x:c r="A67" s="10" t="str">
        <x:v>Mexican</x:v>
      </x:c>
      <x:c r="B67" s="10" t="str">
        <x:v>Female</x:v>
      </x:c>
      <x:c r="C67" s="10" t="str">
        <x:v>5-40</x:v>
      </x:c>
      <x:c r="D67" s="11" t="str">
        <x:v>CentileBrain panel-adjusted BAG</x:v>
      </x:c>
      <x:c r="E67" s="12" t="n">
        <x:v>106</x:v>
      </x:c>
      <x:c r="F67" s="5" t="n">
        <x:v>24.943396226415093</x:v>
      </x:c>
      <x:c r="G67" s="5" t="n">
        <x:v>5.535737037312316</x:v>
      </x:c>
      <x:c r="H67" s="5" t="n">
        <x:v>17</x:v>
      </x:c>
      <x:c r="I67" s="5" t="n">
        <x:v>40</x:v>
      </x:c>
      <x:c r="J67" s="5" t="n">
        <x:v>-0.9768102392205785</x:v>
      </x:c>
      <x:c r="K67" s="5" t="n">
        <x:v>3.490224471608961</x:v>
      </x:c>
      <x:c r="L67" s="5" t="n">
        <x:v>2.8762208728154253</x:v>
      </x:c>
    </x:row>
    <x:row r="68" ht="32" customHeight="1">
      <x:c r="A68" s="10" t="str">
        <x:v>Mexican</x:v>
      </x:c>
      <x:c r="B68" s="10" t="str">
        <x:v>Female</x:v>
      </x:c>
      <x:c r="C68" s="10" t="str">
        <x:v>5-40</x:v>
      </x:c>
      <x:c r="D68" s="11" t="str">
        <x:v>Training-reference 10-year bucket-adjusted BAG</x:v>
      </x:c>
      <x:c r="E68" s="12" t="n">
        <x:v>106</x:v>
      </x:c>
      <x:c r="F68" s="5" t="n">
        <x:v>24.943396226415093</x:v>
      </x:c>
      <x:c r="G68" s="5" t="n">
        <x:v>5.535737037312316</x:v>
      </x:c>
      <x:c r="H68" s="5" t="n">
        <x:v>17</x:v>
      </x:c>
      <x:c r="I68" s="5" t="n">
        <x:v>40</x:v>
      </x:c>
      <x:c r="J68" s="5" t="n">
        <x:v>-1.6581105736884092</x:v>
      </x:c>
      <x:c r="K68" s="5" t="n">
        <x:v>3.82036100865089</x:v>
      </x:c>
      <x:c r="L68" s="5" t="n">
        <x:v>3.2803642680069403</x:v>
      </x:c>
    </x:row>
    <x:row r="69" ht="32" customHeight="1">
      <x:c r="A69" s="10" t="str">
        <x:v>Mexican</x:v>
      </x:c>
      <x:c r="B69" s="10" t="str">
        <x:v>Female</x:v>
      </x:c>
      <x:c r="C69" s="10" t="str">
        <x:v>5-40</x:v>
      </x:c>
      <x:c r="D69" s="11" t="str">
        <x:v>Training-reference 5-year bucket-adjusted BAG</x:v>
      </x:c>
      <x:c r="E69" s="12" t="n">
        <x:v>106</x:v>
      </x:c>
      <x:c r="F69" s="5" t="n">
        <x:v>24.943396226415093</x:v>
      </x:c>
      <x:c r="G69" s="5" t="n">
        <x:v>5.535737037312316</x:v>
      </x:c>
      <x:c r="H69" s="5" t="n">
        <x:v>17</x:v>
      </x:c>
      <x:c r="I69" s="5" t="n">
        <x:v>40</x:v>
      </x:c>
      <x:c r="J69" s="5" t="n">
        <x:v>-1.658463568195351</x:v>
      </x:c>
      <x:c r="K69" s="5" t="n">
        <x:v>3.831148356666922</x:v>
      </x:c>
      <x:c r="L69" s="5" t="n">
        <x:v>3.275002372588003</x:v>
      </x:c>
    </x:row>
    <x:row r="70" ht="32" customHeight="1">
      <x:c r="A70" s="10" t="str">
        <x:v>Mexican</x:v>
      </x:c>
      <x:c r="B70" s="10" t="str">
        <x:v>Female</x:v>
      </x:c>
      <x:c r="C70" s="10" t="str">
        <x:v>5-40</x:v>
      </x:c>
      <x:c r="D70" s="11" t="str">
        <x:v>BrainAGE_S (cohort age-trend adjusted BAG)</x:v>
      </x:c>
      <x:c r="E70" s="12" t="n">
        <x:v>106</x:v>
      </x:c>
      <x:c r="F70" s="5" t="n">
        <x:v>24.943396226415093</x:v>
      </x:c>
      <x:c r="G70" s="5" t="n">
        <x:v>5.535737037312316</x:v>
      </x:c>
      <x:c r="H70" s="5" t="n">
        <x:v>17</x:v>
      </x:c>
      <x:c r="I70" s="5" t="n">
        <x:v>40</x:v>
      </x:c>
      <x:c r="J70" s="5" t="n">
        <x:v>-0.9768102392205783</x:v>
      </x:c>
      <x:c r="K70" s="5" t="n">
        <x:v>3.451953467888542</x:v>
      </x:c>
      <x:c r="L70" s="5" t="n">
        <x:v>2.88274933463525</x:v>
      </x:c>
    </x:row>
    <x:row r="71" ht="32" customHeight="1">
      <x:c r="A71" s="10" t="str">
        <x:v>Mexican</x:v>
      </x:c>
      <x:c r="B71" s="10" t="str">
        <x:v>Female</x:v>
      </x:c>
      <x:c r="C71" s="10" t="str">
        <x:v>40-90</x:v>
      </x:c>
      <x:c r="D71" s="11" t="str">
        <x:v>Raw CentileBrain BAG</x:v>
      </x:c>
      <x:c r="E71" s="12" t="n">
        <x:v>31</x:v>
      </x:c>
      <x:c r="F71" s="5" t="n">
        <x:v>50</x:v>
      </x:c>
      <x:c r="G71" s="5" t="n">
        <x:v>7.848566748139434</x:v>
      </x:c>
      <x:c r="H71" s="5" t="n">
        <x:v>41</x:v>
      </x:c>
      <x:c r="I71" s="5" t="n">
        <x:v>70</x:v>
      </x:c>
      <x:c r="J71" s="5" t="n">
        <x:v>13.270976352326246</x:v>
      </x:c>
      <x:c r="K71" s="5" t="n">
        <x:v>6.3141541764679445</x:v>
      </x:c>
      <x:c r="L71" s="5" t="n">
        <x:v>13.270976352326246</x:v>
      </x:c>
    </x:row>
    <x:row r="72" ht="32" customHeight="1">
      <x:c r="A72" s="10" t="str">
        <x:v>Mexican</x:v>
      </x:c>
      <x:c r="B72" s="10" t="str">
        <x:v>Female</x:v>
      </x:c>
      <x:c r="C72" s="10" t="str">
        <x:v>40-90</x:v>
      </x:c>
      <x:c r="D72" s="11" t="str">
        <x:v>CentileBrain panel-adjusted BAG</x:v>
      </x:c>
      <x:c r="E72" s="12" t="n">
        <x:v>31</x:v>
      </x:c>
      <x:c r="F72" s="5" t="n">
        <x:v>50</x:v>
      </x:c>
      <x:c r="G72" s="5" t="n">
        <x:v>7.848566748139434</x:v>
      </x:c>
      <x:c r="H72" s="5" t="n">
        <x:v>41</x:v>
      </x:c>
      <x:c r="I72" s="5" t="n">
        <x:v>70</x:v>
      </x:c>
      <x:c r="J72" s="5" t="n">
        <x:v>6.252526153938821</x:v>
      </x:c>
      <x:c r="K72" s="5" t="n">
        <x:v>4.00490858346933</x:v>
      </x:c>
      <x:c r="L72" s="5" t="n">
        <x:v>6.497673760343708</x:v>
      </x:c>
    </x:row>
    <x:row r="73" ht="32" customHeight="1">
      <x:c r="A73" s="10" t="str">
        <x:v>Mexican</x:v>
      </x:c>
      <x:c r="B73" s="10" t="str">
        <x:v>Female</x:v>
      </x:c>
      <x:c r="C73" s="10" t="str">
        <x:v>40-90</x:v>
      </x:c>
      <x:c r="D73" s="11" t="str">
        <x:v>Training-reference 10-year bucket-adjusted BAG</x:v>
      </x:c>
      <x:c r="E73" s="12" t="n">
        <x:v>31</x:v>
      </x:c>
      <x:c r="F73" s="5" t="n">
        <x:v>50</x:v>
      </x:c>
      <x:c r="G73" s="5" t="n">
        <x:v>7.848566748139434</x:v>
      </x:c>
      <x:c r="H73" s="5" t="n">
        <x:v>41</x:v>
      </x:c>
      <x:c r="I73" s="5" t="n">
        <x:v>70</x:v>
      </x:c>
      <x:c r="J73" s="5" t="n">
        <x:v>7.608464107232287</x:v>
      </x:c>
      <x:c r="K73" s="5" t="n">
        <x:v>4.231246451000075</x:v>
      </x:c>
      <x:c r="L73" s="5" t="n">
        <x:v>7.68144497774263</x:v>
      </x:c>
    </x:row>
    <x:row r="74" ht="32" customHeight="1">
      <x:c r="A74" s="10" t="str">
        <x:v>Mexican</x:v>
      </x:c>
      <x:c r="B74" s="10" t="str">
        <x:v>Female</x:v>
      </x:c>
      <x:c r="C74" s="10" t="str">
        <x:v>40-90</x:v>
      </x:c>
      <x:c r="D74" s="11" t="str">
        <x:v>Training-reference 5-year bucket-adjusted BAG</x:v>
      </x:c>
      <x:c r="E74" s="12" t="n">
        <x:v>31</x:v>
      </x:c>
      <x:c r="F74" s="5" t="n">
        <x:v>50</x:v>
      </x:c>
      <x:c r="G74" s="5" t="n">
        <x:v>7.848566748139434</x:v>
      </x:c>
      <x:c r="H74" s="5" t="n">
        <x:v>41</x:v>
      </x:c>
      <x:c r="I74" s="5" t="n">
        <x:v>70</x:v>
      </x:c>
      <x:c r="J74" s="5" t="n">
        <x:v>7.517490399138093</x:v>
      </x:c>
      <x:c r="K74" s="5" t="n">
        <x:v>4.294466549648999</x:v>
      </x:c>
      <x:c r="L74" s="5" t="n">
        <x:v>7.602708318151069</x:v>
      </x:c>
    </x:row>
    <x:row r="75" ht="32" customHeight="1">
      <x:c r="A75" s="10" t="str">
        <x:v>Mexican</x:v>
      </x:c>
      <x:c r="B75" s="10" t="str">
        <x:v>Female</x:v>
      </x:c>
      <x:c r="C75" s="10" t="str">
        <x:v>40-90</x:v>
      </x:c>
      <x:c r="D75" s="11" t="str">
        <x:v>BrainAGE_S (cohort age-trend adjusted BAG)</x:v>
      </x:c>
      <x:c r="E75" s="12" t="n">
        <x:v>31</x:v>
      </x:c>
      <x:c r="F75" s="5" t="n">
        <x:v>50</x:v>
      </x:c>
      <x:c r="G75" s="5" t="n">
        <x:v>7.848566748139434</x:v>
      </x:c>
      <x:c r="H75" s="5" t="n">
        <x:v>41</x:v>
      </x:c>
      <x:c r="I75" s="5" t="n">
        <x:v>70</x:v>
      </x:c>
      <x:c r="J75" s="5" t="n">
        <x:v>6.252526153938822</x:v>
      </x:c>
      <x:c r="K75" s="5" t="n">
        <x:v>4.003320614879242</x:v>
      </x:c>
      <x:c r="L75" s="5" t="n">
        <x:v>6.4939658678124355</x:v>
      </x:c>
    </x:row>
    <x:row r="76" ht="32" customHeight="1">
      <x:c r="A76" s="10" t="str">
        <x:v>Mexican</x:v>
      </x:c>
      <x:c r="B76" s="10" t="str">
        <x:v>Male</x:v>
      </x:c>
      <x:c r="C76" s="10" t="str">
        <x:v>5-40</x:v>
      </x:c>
      <x:c r="D76" s="11" t="str">
        <x:v>Raw CentileBrain BAG</x:v>
      </x:c>
      <x:c r="E76" s="12" t="n">
        <x:v>164</x:v>
      </x:c>
      <x:c r="F76" s="5" t="n">
        <x:v>26.98780487804878</x:v>
      </x:c>
      <x:c r="G76" s="5" t="n">
        <x:v>5.940386681427736</x:v>
      </x:c>
      <x:c r="H76" s="5" t="n">
        <x:v>17</x:v>
      </x:c>
      <x:c r="I76" s="5" t="n">
        <x:v>40</x:v>
      </x:c>
      <x:c r="J76" s="5" t="n">
        <x:v>-4.329382868152389</x:v>
      </x:c>
      <x:c r="K76" s="5" t="n">
        <x:v>5.35271605229614</x:v>
      </x:c>
      <x:c r="L76" s="5" t="n">
        <x:v>5.625286039022513</x:v>
      </x:c>
    </x:row>
    <x:row r="77" ht="32" customHeight="1">
      <x:c r="A77" s="10" t="str">
        <x:v>Mexican</x:v>
      </x:c>
      <x:c r="B77" s="10" t="str">
        <x:v>Male</x:v>
      </x:c>
      <x:c r="C77" s="10" t="str">
        <x:v>5-40</x:v>
      </x:c>
      <x:c r="D77" s="11" t="str">
        <x:v>CentileBrain panel-adjusted BAG</x:v>
      </x:c>
      <x:c r="E77" s="12" t="n">
        <x:v>164</x:v>
      </x:c>
      <x:c r="F77" s="5" t="n">
        <x:v>26.98780487804878</x:v>
      </x:c>
      <x:c r="G77" s="5" t="n">
        <x:v>5.940386681427736</x:v>
      </x:c>
      <x:c r="H77" s="5" t="n">
        <x:v>17</x:v>
      </x:c>
      <x:c r="I77" s="5" t="n">
        <x:v>40</x:v>
      </x:c>
      <x:c r="J77" s="5" t="n">
        <x:v>-1.6351542319329266</x:v>
      </x:c>
      <x:c r="K77" s="5" t="n">
        <x:v>3.7667728728361896</x:v>
      </x:c>
      <x:c r="L77" s="5" t="n">
        <x:v>3.3427571194085366</x:v>
      </x:c>
    </x:row>
    <x:row r="78" ht="32" customHeight="1">
      <x:c r="A78" s="10" t="str">
        <x:v>Mexican</x:v>
      </x:c>
      <x:c r="B78" s="10" t="str">
        <x:v>Male</x:v>
      </x:c>
      <x:c r="C78" s="10" t="str">
        <x:v>5-40</x:v>
      </x:c>
      <x:c r="D78" s="11" t="str">
        <x:v>Training-reference 10-year bucket-adjusted BAG</x:v>
      </x:c>
      <x:c r="E78" s="12" t="n">
        <x:v>164</x:v>
      </x:c>
      <x:c r="F78" s="5" t="n">
        <x:v>26.98780487804878</x:v>
      </x:c>
      <x:c r="G78" s="5" t="n">
        <x:v>5.940386681427736</x:v>
      </x:c>
      <x:c r="H78" s="5" t="n">
        <x:v>17</x:v>
      </x:c>
      <x:c r="I78" s="5" t="n">
        <x:v>40</x:v>
      </x:c>
      <x:c r="J78" s="5" t="n">
        <x:v>-2.9209271376936643</x:v>
      </x:c>
      <x:c r="K78" s="5" t="n">
        <x:v>4.214870388946692</x:v>
      </x:c>
      <x:c r="L78" s="5" t="n">
        <x:v>4.248202826916232</x:v>
      </x:c>
    </x:row>
    <x:row r="79" ht="32" customHeight="1">
      <x:c r="A79" s="10" t="str">
        <x:v>Mexican</x:v>
      </x:c>
      <x:c r="B79" s="10" t="str">
        <x:v>Male</x:v>
      </x:c>
      <x:c r="C79" s="10" t="str">
        <x:v>5-40</x:v>
      </x:c>
      <x:c r="D79" s="11" t="str">
        <x:v>Training-reference 5-year bucket-adjusted BAG</x:v>
      </x:c>
      <x:c r="E79" s="12" t="n">
        <x:v>164</x:v>
      </x:c>
      <x:c r="F79" s="5" t="n">
        <x:v>26.98780487804878</x:v>
      </x:c>
      <x:c r="G79" s="5" t="n">
        <x:v>5.940386681427736</x:v>
      </x:c>
      <x:c r="H79" s="5" t="n">
        <x:v>17</x:v>
      </x:c>
      <x:c r="I79" s="5" t="n">
        <x:v>40</x:v>
      </x:c>
      <x:c r="J79" s="5" t="n">
        <x:v>-2.915636187310986</x:v>
      </x:c>
      <x:c r="K79" s="5" t="n">
        <x:v>4.200065000045718</x:v>
      </x:c>
      <x:c r="L79" s="5" t="n">
        <x:v>4.234475521431507</x:v>
      </x:c>
    </x:row>
    <x:row r="80" ht="32" customHeight="1">
      <x:c r="A80" s="10" t="str">
        <x:v>Mexican</x:v>
      </x:c>
      <x:c r="B80" s="10" t="str">
        <x:v>Male</x:v>
      </x:c>
      <x:c r="C80" s="10" t="str">
        <x:v>5-40</x:v>
      </x:c>
      <x:c r="D80" s="11" t="str">
        <x:v>BrainAGE_S (cohort age-trend adjusted BAG)</x:v>
      </x:c>
      <x:c r="E80" s="12" t="n">
        <x:v>164</x:v>
      </x:c>
      <x:c r="F80" s="5" t="n">
        <x:v>26.98780487804878</x:v>
      </x:c>
      <x:c r="G80" s="5" t="n">
        <x:v>5.940386681427736</x:v>
      </x:c>
      <x:c r="H80" s="5" t="n">
        <x:v>17</x:v>
      </x:c>
      <x:c r="I80" s="5" t="n">
        <x:v>40</x:v>
      </x:c>
      <x:c r="J80" s="5" t="n">
        <x:v>-1.6351542319329266</x:v>
      </x:c>
      <x:c r="K80" s="5" t="n">
        <x:v>3.697033750725147</x:v>
      </x:c>
      <x:c r="L80" s="5" t="n">
        <x:v>3.2981308563491187</x:v>
      </x:c>
    </x:row>
    <x:row r="81" ht="32" customHeight="1">
      <x:c r="A81" s="10" t="str">
        <x:v>Mexican</x:v>
      </x:c>
      <x:c r="B81" s="10" t="str">
        <x:v>Male</x:v>
      </x:c>
      <x:c r="C81" s="10" t="str">
        <x:v>40-90</x:v>
      </x:c>
      <x:c r="D81" s="11" t="str">
        <x:v>Raw CentileBrain BAG</x:v>
      </x:c>
      <x:c r="E81" s="12" t="n">
        <x:v>13</x:v>
      </x:c>
      <x:c r="F81" s="5" t="n">
        <x:v>44.23076923076923</x:v>
      </x:c>
      <x:c r="G81" s="5" t="n">
        <x:v>2.8033862307884654</x:v>
      </x:c>
      <x:c r="H81" s="5" t="n">
        <x:v>41</x:v>
      </x:c>
      <x:c r="I81" s="5" t="n">
        <x:v>50</x:v>
      </x:c>
      <x:c r="J81" s="5" t="n">
        <x:v>16.540703663812625</x:v>
      </x:c>
      <x:c r="K81" s="5" t="n">
        <x:v>5.716055148052564</x:v>
      </x:c>
      <x:c r="L81" s="5" t="n">
        <x:v>16.540703663812625</x:v>
      </x:c>
    </x:row>
    <x:row r="82" ht="32" customHeight="1">
      <x:c r="A82" s="10" t="str">
        <x:v>Mexican</x:v>
      </x:c>
      <x:c r="B82" s="10" t="str">
        <x:v>Male</x:v>
      </x:c>
      <x:c r="C82" s="10" t="str">
        <x:v>40-90</x:v>
      </x:c>
      <x:c r="D82" s="11" t="str">
        <x:v>CentileBrain panel-adjusted BAG</x:v>
      </x:c>
      <x:c r="E82" s="12" t="n">
        <x:v>13</x:v>
      </x:c>
      <x:c r="F82" s="5" t="n">
        <x:v>44.23076923076923</x:v>
      </x:c>
      <x:c r="G82" s="5" t="n">
        <x:v>2.8033862307884654</x:v>
      </x:c>
      <x:c r="H82" s="5" t="n">
        <x:v>41</x:v>
      </x:c>
      <x:c r="I82" s="5" t="n">
        <x:v>50</x:v>
      </x:c>
      <x:c r="J82" s="5" t="n">
        <x:v>-0.903863382798942</x:v>
      </x:c>
      <x:c r="K82" s="5" t="n">
        <x:v>4.198501462618883</x:v>
      </x:c>
      <x:c r="L82" s="5" t="n">
        <x:v>3.2325789821106317</x:v>
      </x:c>
    </x:row>
    <x:row r="83" ht="32" customHeight="1">
      <x:c r="A83" s="10" t="str">
        <x:v>Mexican</x:v>
      </x:c>
      <x:c r="B83" s="10" t="str">
        <x:v>Male</x:v>
      </x:c>
      <x:c r="C83" s="10" t="str">
        <x:v>40-90</x:v>
      </x:c>
      <x:c r="D83" s="11" t="str">
        <x:v>Training-reference 10-year bucket-adjusted BAG</x:v>
      </x:c>
      <x:c r="E83" s="12" t="n">
        <x:v>13</x:v>
      </x:c>
      <x:c r="F83" s="5" t="n">
        <x:v>44.23076923076923</x:v>
      </x:c>
      <x:c r="G83" s="5" t="n">
        <x:v>2.8033862307884654</x:v>
      </x:c>
      <x:c r="H83" s="5" t="n">
        <x:v>41</x:v>
      </x:c>
      <x:c r="I83" s="5" t="n">
        <x:v>50</x:v>
      </x:c>
      <x:c r="J83" s="5" t="n">
        <x:v>9.484583913832516</x:v>
      </x:c>
      <x:c r="K83" s="5" t="n">
        <x:v>5.054443325698988</x:v>
      </x:c>
      <x:c r="L83" s="5" t="n">
        <x:v>9.484583913832516</x:v>
      </x:c>
    </x:row>
    <x:row r="84" ht="32" customHeight="1">
      <x:c r="A84" s="10" t="str">
        <x:v>Mexican</x:v>
      </x:c>
      <x:c r="B84" s="10" t="str">
        <x:v>Male</x:v>
      </x:c>
      <x:c r="C84" s="10" t="str">
        <x:v>40-90</x:v>
      </x:c>
      <x:c r="D84" s="11" t="str">
        <x:v>Training-reference 5-year bucket-adjusted BAG</x:v>
      </x:c>
      <x:c r="E84" s="12" t="n">
        <x:v>13</x:v>
      </x:c>
      <x:c r="F84" s="5" t="n">
        <x:v>44.23076923076923</x:v>
      </x:c>
      <x:c r="G84" s="5" t="n">
        <x:v>2.8033862307884654</x:v>
      </x:c>
      <x:c r="H84" s="5" t="n">
        <x:v>41</x:v>
      </x:c>
      <x:c r="I84" s="5" t="n">
        <x:v>50</x:v>
      </x:c>
      <x:c r="J84" s="5" t="n">
        <x:v>9.652668738650437</x:v>
      </x:c>
      <x:c r="K84" s="5" t="n">
        <x:v>4.496098897582615</x:v>
      </x:c>
      <x:c r="L84" s="5" t="n">
        <x:v>9.652668738650437</x:v>
      </x:c>
    </x:row>
    <x:row r="85" ht="32" customHeight="1">
      <x:c r="A85" s="10" t="str">
        <x:v>Mexican</x:v>
      </x:c>
      <x:c r="B85" s="10" t="str">
        <x:v>Male</x:v>
      </x:c>
      <x:c r="C85" s="10" t="str">
        <x:v>40-90</x:v>
      </x:c>
      <x:c r="D85" s="11" t="str">
        <x:v>BrainAGE_S (cohort age-trend adjusted BAG)</x:v>
      </x:c>
      <x:c r="E85" s="12" t="n">
        <x:v>13</x:v>
      </x:c>
      <x:c r="F85" s="5" t="n">
        <x:v>44.23076923076923</x:v>
      </x:c>
      <x:c r="G85" s="5" t="n">
        <x:v>2.8033862307884654</x:v>
      </x:c>
      <x:c r="H85" s="5" t="n">
        <x:v>41</x:v>
      </x:c>
      <x:c r="I85" s="5" t="n">
        <x:v>50</x:v>
      </x:c>
      <x:c r="J85" s="5" t="n">
        <x:v>-0.9038633827989432</x:v>
      </x:c>
      <x:c r="K85" s="5" t="n">
        <x:v>4.0471962789700315</x:v>
      </x:c>
      <x:c r="L85" s="5" t="n">
        <x:v>3.178760479006947</x:v>
      </x:c>
    </x:row>
    <x:row r="86" ht="32" customHeight="1">
      <x:c r="A86" s="10" t="str">
        <x:v>South Asian</x:v>
      </x:c>
      <x:c r="B86" s="10" t="str">
        <x:v>Female</x:v>
      </x:c>
      <x:c r="C86" s="10" t="str">
        <x:v>5-40</x:v>
      </x:c>
      <x:c r="D86" s="11" t="str">
        <x:v>Raw CentileBrain BAG</x:v>
      </x:c>
      <x:c r="E86" s="12" t="n">
        <x:v>16</x:v>
      </x:c>
      <x:c r="F86" s="5" t="n">
        <x:v>29.4375</x:v>
      </x:c>
      <x:c r="G86" s="5" t="n">
        <x:v>6.869922367343996</x:v>
      </x:c>
      <x:c r="H86" s="5" t="n">
        <x:v>20</x:v>
      </x:c>
      <x:c r="I86" s="5" t="n">
        <x:v>39</x:v>
      </x:c>
      <x:c r="J86" s="5" t="n">
        <x:v>-4.398772580083819</x:v>
      </x:c>
      <x:c r="K86" s="5" t="n">
        <x:v>5.386623824859801</x:v>
      </x:c>
      <x:c r="L86" s="5" t="n">
        <x:v>5.751489700114144</x:v>
      </x:c>
    </x:row>
    <x:row r="87" ht="32" customHeight="1">
      <x:c r="A87" s="10" t="str">
        <x:v>South Asian</x:v>
      </x:c>
      <x:c r="B87" s="10" t="str">
        <x:v>Female</x:v>
      </x:c>
      <x:c r="C87" s="10" t="str">
        <x:v>5-40</x:v>
      </x:c>
      <x:c r="D87" s="11" t="str">
        <x:v>CentileBrain panel-adjusted BAG</x:v>
      </x:c>
      <x:c r="E87" s="12" t="n">
        <x:v>16</x:v>
      </x:c>
      <x:c r="F87" s="5" t="n">
        <x:v>29.4375</x:v>
      </x:c>
      <x:c r="G87" s="5" t="n">
        <x:v>6.869922367343996</x:v>
      </x:c>
      <x:c r="H87" s="5" t="n">
        <x:v>20</x:v>
      </x:c>
      <x:c r="I87" s="5" t="n">
        <x:v>39</x:v>
      </x:c>
      <x:c r="J87" s="5" t="n">
        <x:v>-0.31817520919992465</x:v>
      </x:c>
      <x:c r="K87" s="5" t="n">
        <x:v>2.961073454378585</x:v>
      </x:c>
      <x:c r="L87" s="5" t="n">
        <x:v>2.1775303822644645</x:v>
      </x:c>
    </x:row>
    <x:row r="88" ht="32" customHeight="1">
      <x:c r="A88" s="10" t="str">
        <x:v>South Asian</x:v>
      </x:c>
      <x:c r="B88" s="10" t="str">
        <x:v>Female</x:v>
      </x:c>
      <x:c r="C88" s="10" t="str">
        <x:v>5-40</x:v>
      </x:c>
      <x:c r="D88" s="11" t="str">
        <x:v>Training-reference 10-year bucket-adjusted BAG</x:v>
      </x:c>
      <x:c r="E88" s="12" t="n">
        <x:v>16</x:v>
      </x:c>
      <x:c r="F88" s="5" t="n">
        <x:v>29.4375</x:v>
      </x:c>
      <x:c r="G88" s="5" t="n">
        <x:v>6.869922367343996</x:v>
      </x:c>
      <x:c r="H88" s="5" t="n">
        <x:v>20</x:v>
      </x:c>
      <x:c r="I88" s="5" t="n">
        <x:v>39</x:v>
      </x:c>
      <x:c r="J88" s="5" t="n">
        <x:v>-1.703307018892639</x:v>
      </x:c>
      <x:c r="K88" s="5" t="n">
        <x:v>3.651640504505281</x:v>
      </x:c>
      <x:c r="L88" s="5" t="n">
        <x:v>3.3366649575681597</x:v>
      </x:c>
    </x:row>
    <x:row r="89" ht="32" customHeight="1">
      <x:c r="A89" s="10" t="str">
        <x:v>South Asian</x:v>
      </x:c>
      <x:c r="B89" s="10" t="str">
        <x:v>Female</x:v>
      </x:c>
      <x:c r="C89" s="10" t="str">
        <x:v>5-40</x:v>
      </x:c>
      <x:c r="D89" s="11" t="str">
        <x:v>Training-reference 5-year bucket-adjusted BAG</x:v>
      </x:c>
      <x:c r="E89" s="12" t="n">
        <x:v>16</x:v>
      </x:c>
      <x:c r="F89" s="5" t="n">
        <x:v>29.4375</x:v>
      </x:c>
      <x:c r="G89" s="5" t="n">
        <x:v>6.869922367343996</x:v>
      </x:c>
      <x:c r="H89" s="5" t="n">
        <x:v>20</x:v>
      </x:c>
      <x:c r="I89" s="5" t="n">
        <x:v>39</x:v>
      </x:c>
      <x:c r="J89" s="5" t="n">
        <x:v>-1.749938086063284</x:v>
      </x:c>
      <x:c r="K89" s="5" t="n">
        <x:v>3.6747429880783375</x:v>
      </x:c>
      <x:c r="L89" s="5" t="n">
        <x:v>3.384421238605314</x:v>
      </x:c>
    </x:row>
    <x:row r="90" ht="32" customHeight="1">
      <x:c r="A90" s="10" t="str">
        <x:v>South Asian</x:v>
      </x:c>
      <x:c r="B90" s="10" t="str">
        <x:v>Female</x:v>
      </x:c>
      <x:c r="C90" s="10" t="str">
        <x:v>5-40</x:v>
      </x:c>
      <x:c r="D90" s="11" t="str">
        <x:v>BrainAGE_S (cohort age-trend adjusted BAG)</x:v>
      </x:c>
      <x:c r="E90" s="12" t="n">
        <x:v>16</x:v>
      </x:c>
      <x:c r="F90" s="5" t="n">
        <x:v>29.4375</x:v>
      </x:c>
      <x:c r="G90" s="5" t="n">
        <x:v>6.869922367343996</x:v>
      </x:c>
      <x:c r="H90" s="5" t="n">
        <x:v>20</x:v>
      </x:c>
      <x:c r="I90" s="5" t="n">
        <x:v>39</x:v>
      </x:c>
      <x:c r="J90" s="5" t="n">
        <x:v>-0.3181752091999243</x:v>
      </x:c>
      <x:c r="K90" s="5" t="n">
        <x:v>2.851728047452911</x:v>
      </x:c>
      <x:c r="L90" s="5" t="n">
        <x:v>1.9073063262353451</x:v>
      </x:c>
    </x:row>
    <x:row r="91" ht="32" customHeight="1">
      <x:c r="A91" s="10" t="str">
        <x:v>South Asian</x:v>
      </x:c>
      <x:c r="B91" s="10" t="str">
        <x:v>Female</x:v>
      </x:c>
      <x:c r="C91" s="10" t="str">
        <x:v>40-90</x:v>
      </x:c>
      <x:c r="D91" s="11" t="str">
        <x:v>Raw CentileBrain BAG</x:v>
      </x:c>
      <x:c r="E91" s="12" t="n">
        <x:v>144</x:v>
      </x:c>
      <x:c r="F91" s="5" t="n">
        <x:v>59.951388888888886</x:v>
      </x:c>
      <x:c r="G91" s="5" t="n">
        <x:v>8.044743635157069</x:v>
      </x:c>
      <x:c r="H91" s="5" t="n">
        <x:v>42</x:v>
      </x:c>
      <x:c r="I91" s="5" t="n">
        <x:v>77</x:v>
      </x:c>
      <x:c r="J91" s="5" t="n">
        <x:v>3.1556089425883362</x:v>
      </x:c>
      <x:c r="K91" s="5" t="n">
        <x:v>6.43904707517466</x:v>
      </x:c>
      <x:c r="L91" s="5" t="n">
        <x:v>5.5895912743039355</x:v>
      </x:c>
    </x:row>
    <x:row r="92" ht="32" customHeight="1">
      <x:c r="A92" s="10" t="str">
        <x:v>South Asian</x:v>
      </x:c>
      <x:c r="B92" s="10" t="str">
        <x:v>Female</x:v>
      </x:c>
      <x:c r="C92" s="10" t="str">
        <x:v>40-90</x:v>
      </x:c>
      <x:c r="D92" s="11" t="str">
        <x:v>CentileBrain panel-adjusted BAG</x:v>
      </x:c>
      <x:c r="E92" s="12" t="n">
        <x:v>144</x:v>
      </x:c>
      <x:c r="F92" s="5" t="n">
        <x:v>59.951388888888886</x:v>
      </x:c>
      <x:c r="G92" s="5" t="n">
        <x:v>8.044743635157069</x:v>
      </x:c>
      <x:c r="H92" s="5" t="n">
        <x:v>42</x:v>
      </x:c>
      <x:c r="I92" s="5" t="n">
        <x:v>77</x:v>
      </x:c>
      <x:c r="J92" s="5" t="n">
        <x:v>2.0006319047892145</x:v>
      </x:c>
      <x:c r="K92" s="5" t="n">
        <x:v>4.084501414423392</x:v>
      </x:c>
      <x:c r="L92" s="5" t="n">
        <x:v>3.618056092100486</x:v>
      </x:c>
    </x:row>
    <x:row r="93" ht="32" customHeight="1">
      <x:c r="A93" s="10" t="str">
        <x:v>South Asian</x:v>
      </x:c>
      <x:c r="B93" s="10" t="str">
        <x:v>Female</x:v>
      </x:c>
      <x:c r="C93" s="10" t="str">
        <x:v>40-90</x:v>
      </x:c>
      <x:c r="D93" s="11" t="str">
        <x:v>Training-reference 10-year bucket-adjusted BAG</x:v>
      </x:c>
      <x:c r="E93" s="12" t="n">
        <x:v>144</x:v>
      </x:c>
      <x:c r="F93" s="5" t="n">
        <x:v>59.951388888888886</x:v>
      </x:c>
      <x:c r="G93" s="5" t="n">
        <x:v>8.044743635157069</x:v>
      </x:c>
      <x:c r="H93" s="5" t="n">
        <x:v>42</x:v>
      </x:c>
      <x:c r="I93" s="5" t="n">
        <x:v>77</x:v>
      </x:c>
      <x:c r="J93" s="5" t="n">
        <x:v>2.1718196842234985</x:v>
      </x:c>
      <x:c r="K93" s="5" t="n">
        <x:v>4.304704962100749</x:v>
      </x:c>
      <x:c r="L93" s="5" t="n">
        <x:v>3.8326564186472325</x:v>
      </x:c>
    </x:row>
    <x:row r="94" ht="32" customHeight="1">
      <x:c r="A94" s="10" t="str">
        <x:v>South Asian</x:v>
      </x:c>
      <x:c r="B94" s="10" t="str">
        <x:v>Female</x:v>
      </x:c>
      <x:c r="C94" s="10" t="str">
        <x:v>40-90</x:v>
      </x:c>
      <x:c r="D94" s="11" t="str">
        <x:v>Training-reference 5-year bucket-adjusted BAG</x:v>
      </x:c>
      <x:c r="E94" s="12" t="n">
        <x:v>144</x:v>
      </x:c>
      <x:c r="F94" s="5" t="n">
        <x:v>59.951388888888886</x:v>
      </x:c>
      <x:c r="G94" s="5" t="n">
        <x:v>8.044743635157069</x:v>
      </x:c>
      <x:c r="H94" s="5" t="n">
        <x:v>42</x:v>
      </x:c>
      <x:c r="I94" s="5" t="n">
        <x:v>77</x:v>
      </x:c>
      <x:c r="J94" s="5" t="n">
        <x:v>2.1568024607571</x:v>
      </x:c>
      <x:c r="K94" s="5" t="n">
        <x:v>4.2801444598768645</x:v>
      </x:c>
      <x:c r="L94" s="5" t="n">
        <x:v>3.7965134247653256</x:v>
      </x:c>
    </x:row>
    <x:row r="95" ht="32" customHeight="1">
      <x:c r="A95" s="10" t="str">
        <x:v>South Asian</x:v>
      </x:c>
      <x:c r="B95" s="10" t="str">
        <x:v>Female</x:v>
      </x:c>
      <x:c r="C95" s="10" t="str">
        <x:v>40-90</x:v>
      </x:c>
      <x:c r="D95" s="11" t="str">
        <x:v>BrainAGE_S (cohort age-trend adjusted BAG)</x:v>
      </x:c>
      <x:c r="E95" s="12" t="n">
        <x:v>144</x:v>
      </x:c>
      <x:c r="F95" s="5" t="n">
        <x:v>59.951388888888886</x:v>
      </x:c>
      <x:c r="G95" s="5" t="n">
        <x:v>8.044743635157069</x:v>
      </x:c>
      <x:c r="H95" s="5" t="n">
        <x:v>42</x:v>
      </x:c>
      <x:c r="I95" s="5" t="n">
        <x:v>77</x:v>
      </x:c>
      <x:c r="J95" s="5" t="n">
        <x:v>2.000631904789215</x:v>
      </x:c>
      <x:c r="K95" s="5" t="n">
        <x:v>3.982054650930705</x:v>
      </x:c>
      <x:c r="L95" s="5" t="n">
        <x:v>3.570434296410867</x:v>
      </x:c>
    </x:row>
    <x:row r="96" ht="32" customHeight="1">
      <x:c r="A96" s="10" t="str">
        <x:v>South Asian</x:v>
      </x:c>
      <x:c r="B96" s="10" t="str">
        <x:v>Male</x:v>
      </x:c>
      <x:c r="C96" s="10" t="str">
        <x:v>5-40</x:v>
      </x:c>
      <x:c r="D96" s="11" t="str">
        <x:v>Raw CentileBrain BAG</x:v>
      </x:c>
      <x:c r="E96" s="12" t="n">
        <x:v>21</x:v>
      </x:c>
      <x:c r="F96" s="5" t="n">
        <x:v>28</x:v>
      </x:c>
      <x:c r="G96" s="5" t="n">
        <x:v>5.167204273105526</x:v>
      </x:c>
      <x:c r="H96" s="5" t="n">
        <x:v>19</x:v>
      </x:c>
      <x:c r="I96" s="5" t="n">
        <x:v>39</x:v>
      </x:c>
      <x:c r="J96" s="5" t="n">
        <x:v>-2.9680897302693086</x:v>
      </x:c>
      <x:c r="K96" s="5" t="n">
        <x:v>4.468101159021577</x:v>
      </x:c>
      <x:c r="L96" s="5" t="n">
        <x:v>4.340091636340863</x:v>
      </x:c>
    </x:row>
    <x:row r="97" ht="32" customHeight="1">
      <x:c r="A97" s="10" t="str">
        <x:v>South Asian</x:v>
      </x:c>
      <x:c r="B97" s="10" t="str">
        <x:v>Male</x:v>
      </x:c>
      <x:c r="C97" s="10" t="str">
        <x:v>5-40</x:v>
      </x:c>
      <x:c r="D97" s="11" t="str">
        <x:v>CentileBrain panel-adjusted BAG</x:v>
      </x:c>
      <x:c r="E97" s="12" t="n">
        <x:v>21</x:v>
      </x:c>
      <x:c r="F97" s="5" t="n">
        <x:v>28</x:v>
      </x:c>
      <x:c r="G97" s="5" t="n">
        <x:v>5.167204273105526</x:v>
      </x:c>
      <x:c r="H97" s="5" t="n">
        <x:v>19</x:v>
      </x:c>
      <x:c r="I97" s="5" t="n">
        <x:v>39</x:v>
      </x:c>
      <x:c r="J97" s="5" t="n">
        <x:v>0.06202825830603671</x:v>
      </x:c>
      <x:c r="K97" s="5" t="n">
        <x:v>3.7538459745821164</x:v>
      </x:c>
      <x:c r="L97" s="5" t="n">
        <x:v>2.707086686322044</x:v>
      </x:c>
    </x:row>
    <x:row r="98" ht="32" customHeight="1">
      <x:c r="A98" s="10" t="str">
        <x:v>South Asian</x:v>
      </x:c>
      <x:c r="B98" s="10" t="str">
        <x:v>Male</x:v>
      </x:c>
      <x:c r="C98" s="10" t="str">
        <x:v>5-40</x:v>
      </x:c>
      <x:c r="D98" s="11" t="str">
        <x:v>Training-reference 10-year bucket-adjusted BAG</x:v>
      </x:c>
      <x:c r="E98" s="12" t="n">
        <x:v>21</x:v>
      </x:c>
      <x:c r="F98" s="5" t="n">
        <x:v>28</x:v>
      </x:c>
      <x:c r="G98" s="5" t="n">
        <x:v>5.167204273105526</x:v>
      </x:c>
      <x:c r="H98" s="5" t="n">
        <x:v>19</x:v>
      </x:c>
      <x:c r="I98" s="5" t="n">
        <x:v>39</x:v>
      </x:c>
      <x:c r="J98" s="5" t="n">
        <x:v>-1.4925682878694764</x:v>
      </x:c>
      <x:c r="K98" s="5" t="n">
        <x:v>3.8474975218647143</x:v>
      </x:c>
      <x:c r="L98" s="5" t="n">
        <x:v>3.116586933904427</x:v>
      </x:c>
    </x:row>
    <x:row r="99" ht="32" customHeight="1">
      <x:c r="A99" s="10" t="str">
        <x:v>South Asian</x:v>
      </x:c>
      <x:c r="B99" s="10" t="str">
        <x:v>Male</x:v>
      </x:c>
      <x:c r="C99" s="10" t="str">
        <x:v>5-40</x:v>
      </x:c>
      <x:c r="D99" s="11" t="str">
        <x:v>Training-reference 5-year bucket-adjusted BAG</x:v>
      </x:c>
      <x:c r="E99" s="12" t="n">
        <x:v>21</x:v>
      </x:c>
      <x:c r="F99" s="5" t="n">
        <x:v>28</x:v>
      </x:c>
      <x:c r="G99" s="5" t="n">
        <x:v>5.167204273105526</x:v>
      </x:c>
      <x:c r="H99" s="5" t="n">
        <x:v>19</x:v>
      </x:c>
      <x:c r="I99" s="5" t="n">
        <x:v>39</x:v>
      </x:c>
      <x:c r="J99" s="5" t="n">
        <x:v>-1.4857727392920892</x:v>
      </x:c>
      <x:c r="K99" s="5" t="n">
        <x:v>3.8798825513122517</x:v>
      </x:c>
      <x:c r="L99" s="5" t="n">
        <x:v>3.1523954524509357</x:v>
      </x:c>
    </x:row>
    <x:row r="100" ht="32" customHeight="1">
      <x:c r="A100" s="10" t="str">
        <x:v>South Asian</x:v>
      </x:c>
      <x:c r="B100" s="10" t="str">
        <x:v>Male</x:v>
      </x:c>
      <x:c r="C100" s="10" t="str">
        <x:v>5-40</x:v>
      </x:c>
      <x:c r="D100" s="11" t="str">
        <x:v>BrainAGE_S (cohort age-trend adjusted BAG)</x:v>
      </x:c>
      <x:c r="E100" s="12" t="n">
        <x:v>21</x:v>
      </x:c>
      <x:c r="F100" s="5" t="n">
        <x:v>28</x:v>
      </x:c>
      <x:c r="G100" s="5" t="n">
        <x:v>5.167204273105526</x:v>
      </x:c>
      <x:c r="H100" s="5" t="n">
        <x:v>19</x:v>
      </x:c>
      <x:c r="I100" s="5" t="n">
        <x:v>39</x:v>
      </x:c>
      <x:c r="J100" s="5" t="n">
        <x:v>0.06202825830603672</x:v>
      </x:c>
      <x:c r="K100" s="5" t="n">
        <x:v>3.7378295320608226</x:v>
      </x:c>
      <x:c r="L100" s="5" t="n">
        <x:v>2.6618197869169875</x:v>
      </x:c>
    </x:row>
    <x:row r="101" ht="32" customHeight="1">
      <x:c r="A101" s="10" t="str">
        <x:v>South Asian</x:v>
      </x:c>
      <x:c r="B101" s="10" t="str">
        <x:v>Male</x:v>
      </x:c>
      <x:c r="C101" s="10" t="str">
        <x:v>40-90</x:v>
      </x:c>
      <x:c r="D101" s="11" t="str">
        <x:v>Raw CentileBrain BAG</x:v>
      </x:c>
      <x:c r="E101" s="12" t="n">
        <x:v>238</x:v>
      </x:c>
      <x:c r="F101" s="5" t="n">
        <x:v>60.294117647058826</x:v>
      </x:c>
      <x:c r="G101" s="5" t="n">
        <x:v>8.68759525090141</x:v>
      </x:c>
      <x:c r="H101" s="5" t="n">
        <x:v>44</x:v>
      </x:c>
      <x:c r="I101" s="5" t="n">
        <x:v>79</x:v>
      </x:c>
      <x:c r="J101" s="5" t="n">
        <x:v>3.4058682646160108</x:v>
      </x:c>
      <x:c r="K101" s="5" t="n">
        <x:v>6.058682452489235</x:v>
      </x:c>
      <x:c r="L101" s="5" t="n">
        <x:v>5.4934845497629405</x:v>
      </x:c>
    </x:row>
    <x:row r="102" ht="32" customHeight="1">
      <x:c r="A102" s="10" t="str">
        <x:v>South Asian</x:v>
      </x:c>
      <x:c r="B102" s="10" t="str">
        <x:v>Male</x:v>
      </x:c>
      <x:c r="C102" s="10" t="str">
        <x:v>40-90</x:v>
      </x:c>
      <x:c r="D102" s="11" t="str">
        <x:v>CentileBrain panel-adjusted BAG</x:v>
      </x:c>
      <x:c r="E102" s="12" t="n">
        <x:v>238</x:v>
      </x:c>
      <x:c r="F102" s="5" t="n">
        <x:v>60.294117647058826</x:v>
      </x:c>
      <x:c r="G102" s="5" t="n">
        <x:v>8.68759525090141</x:v>
      </x:c>
      <x:c r="H102" s="5" t="n">
        <x:v>44</x:v>
      </x:c>
      <x:c r="I102" s="5" t="n">
        <x:v>79</x:v>
      </x:c>
      <x:c r="J102" s="5" t="n">
        <x:v>2.4648364625328756</x:v>
      </x:c>
      <x:c r="K102" s="5" t="n">
        <x:v>4.226918674801383</x:v>
      </x:c>
      <x:c r="L102" s="5" t="n">
        <x:v>3.924168775186589</x:v>
      </x:c>
    </x:row>
    <x:row r="103" ht="32" customHeight="1">
      <x:c r="A103" s="10" t="str">
        <x:v>South Asian</x:v>
      </x:c>
      <x:c r="B103" s="10" t="str">
        <x:v>Male</x:v>
      </x:c>
      <x:c r="C103" s="10" t="str">
        <x:v>40-90</x:v>
      </x:c>
      <x:c r="D103" s="11" t="str">
        <x:v>Training-reference 10-year bucket-adjusted BAG</x:v>
      </x:c>
      <x:c r="E103" s="12" t="n">
        <x:v>238</x:v>
      </x:c>
      <x:c r="F103" s="5" t="n">
        <x:v>60.294117647058826</x:v>
      </x:c>
      <x:c r="G103" s="5" t="n">
        <x:v>8.68759525090141</x:v>
      </x:c>
      <x:c r="H103" s="5" t="n">
        <x:v>44</x:v>
      </x:c>
      <x:c r="I103" s="5" t="n">
        <x:v>79</x:v>
      </x:c>
      <x:c r="J103" s="5" t="n">
        <x:v>2.617358964601772</x:v>
      </x:c>
      <x:c r="K103" s="5" t="n">
        <x:v>4.3468574639883295</x:v>
      </x:c>
      <x:c r="L103" s="5" t="n">
        <x:v>4.054632902713032</x:v>
      </x:c>
    </x:row>
    <x:row r="104" ht="32" customHeight="1">
      <x:c r="A104" s="10" t="str">
        <x:v>South Asian</x:v>
      </x:c>
      <x:c r="B104" s="10" t="str">
        <x:v>Male</x:v>
      </x:c>
      <x:c r="C104" s="10" t="str">
        <x:v>40-90</x:v>
      </x:c>
      <x:c r="D104" s="11" t="str">
        <x:v>Training-reference 5-year bucket-adjusted BAG</x:v>
      </x:c>
      <x:c r="E104" s="12" t="n">
        <x:v>238</x:v>
      </x:c>
      <x:c r="F104" s="5" t="n">
        <x:v>60.294117647058826</x:v>
      </x:c>
      <x:c r="G104" s="5" t="n">
        <x:v>8.68759525090141</x:v>
      </x:c>
      <x:c r="H104" s="5" t="n">
        <x:v>44</x:v>
      </x:c>
      <x:c r="I104" s="5" t="n">
        <x:v>79</x:v>
      </x:c>
      <x:c r="J104" s="5" t="n">
        <x:v>2.620085511111465</x:v>
      </x:c>
      <x:c r="K104" s="5" t="n">
        <x:v>4.359820138703465</x:v>
      </x:c>
      <x:c r="L104" s="5" t="n">
        <x:v>4.073084293702812</x:v>
      </x:c>
    </x:row>
    <x:row r="105" ht="32" customHeight="1">
      <x:c r="A105" s="10" t="str">
        <x:v>South Asian</x:v>
      </x:c>
      <x:c r="B105" s="10" t="str">
        <x:v>Male</x:v>
      </x:c>
      <x:c r="C105" s="10" t="str">
        <x:v>40-90</x:v>
      </x:c>
      <x:c r="D105" s="11" t="str">
        <x:v>BrainAGE_S (cohort age-trend adjusted BAG)</x:v>
      </x:c>
      <x:c r="E105" s="12" t="n">
        <x:v>238</x:v>
      </x:c>
      <x:c r="F105" s="5" t="n">
        <x:v>60.294117647058826</x:v>
      </x:c>
      <x:c r="G105" s="5" t="n">
        <x:v>8.68759525090141</x:v>
      </x:c>
      <x:c r="H105" s="5" t="n">
        <x:v>44</x:v>
      </x:c>
      <x:c r="I105" s="5" t="n">
        <x:v>79</x:v>
      </x:c>
      <x:c r="J105" s="5" t="n">
        <x:v>2.464836462532875</x:v>
      </x:c>
      <x:c r="K105" s="5" t="n">
        <x:v>4.214229470447824</x:v>
      </x:c>
      <x:c r="L105" s="5" t="n">
        <x:v>3.934811756123751</x:v>
      </x:c>
    </x:row>
    <x:row r="106" ht="32" customHeight="1">
      <x:c r="A106" s="10" t="str">
        <x:v>Turkish</x:v>
      </x:c>
      <x:c r="B106" s="10" t="str">
        <x:v>Female</x:v>
      </x:c>
      <x:c r="C106" s="10" t="str">
        <x:v>5-40</x:v>
      </x:c>
      <x:c r="D106" s="11" t="str">
        <x:v>Raw CentileBrain BAG</x:v>
      </x:c>
      <x:c r="E106" s="12" t="n">
        <x:v>268</x:v>
      </x:c>
      <x:c r="F106" s="5" t="n">
        <x:v>19.59328358208955</x:v>
      </x:c>
      <x:c r="G106" s="5" t="n">
        <x:v>2.4484711353318853</x:v>
      </x:c>
      <x:c r="H106" s="5" t="n">
        <x:v>13</x:v>
      </x:c>
      <x:c r="I106" s="5" t="n">
        <x:v>24</x:v>
      </x:c>
      <x:c r="J106" s="5" t="n">
        <x:v>-0.48354370855071377</x:v>
      </x:c>
      <x:c r="K106" s="5" t="n">
        <x:v>3.219149280328181</x:v>
      </x:c>
      <x:c r="L106" s="5" t="n">
        <x:v>2.5876956737733137</x:v>
      </x:c>
    </x:row>
    <x:row r="107" ht="32" customHeight="1">
      <x:c r="A107" s="10" t="str">
        <x:v>Turkish</x:v>
      </x:c>
      <x:c r="B107" s="10" t="str">
        <x:v>Female</x:v>
      </x:c>
      <x:c r="C107" s="10" t="str">
        <x:v>5-40</x:v>
      </x:c>
      <x:c r="D107" s="11" t="str">
        <x:v>CentileBrain panel-adjusted BAG</x:v>
      </x:c>
      <x:c r="E107" s="12" t="n">
        <x:v>268</x:v>
      </x:c>
      <x:c r="F107" s="5" t="n">
        <x:v>19.59328358208955</x:v>
      </x:c>
      <x:c r="G107" s="5" t="n">
        <x:v>2.4484711353318853</x:v>
      </x:c>
      <x:c r="H107" s="5" t="n">
        <x:v>13</x:v>
      </x:c>
      <x:c r="I107" s="5" t="n">
        <x:v>24</x:v>
      </x:c>
      <x:c r="J107" s="5" t="n">
        <x:v>-0.46775167611402624</x:v>
      </x:c>
      <x:c r="K107" s="5" t="n">
        <x:v>3.0078567749869385</x:v>
      </x:c>
      <x:c r="L107" s="5" t="n">
        <x:v>2.414725820022386</x:v>
      </x:c>
    </x:row>
    <x:row r="108" ht="32" customHeight="1">
      <x:c r="A108" s="10" t="str">
        <x:v>Turkish</x:v>
      </x:c>
      <x:c r="B108" s="10" t="str">
        <x:v>Female</x:v>
      </x:c>
      <x:c r="C108" s="10" t="str">
        <x:v>5-40</x:v>
      </x:c>
      <x:c r="D108" s="11" t="str">
        <x:v>Training-reference 10-year bucket-adjusted BAG</x:v>
      </x:c>
      <x:c r="E108" s="12" t="n">
        <x:v>268</x:v>
      </x:c>
      <x:c r="F108" s="5" t="n">
        <x:v>19.59328358208955</x:v>
      </x:c>
      <x:c r="G108" s="5" t="n">
        <x:v>2.4484711353318853</x:v>
      </x:c>
      <x:c r="H108" s="5" t="n">
        <x:v>13</x:v>
      </x:c>
      <x:c r="I108" s="5" t="n">
        <x:v>24</x:v>
      </x:c>
      <x:c r="J108" s="5" t="n">
        <x:v>-0.7575934687671418</x:v>
      </x:c>
      <x:c r="K108" s="5" t="n">
        <x:v>3.1447084587825556</x:v>
      </x:c>
      <x:c r="L108" s="5" t="n">
        <x:v>2.5754264611744624</x:v>
      </x:c>
    </x:row>
    <x:row r="109" ht="32" customHeight="1">
      <x:c r="A109" s="10" t="str">
        <x:v>Turkish</x:v>
      </x:c>
      <x:c r="B109" s="10" t="str">
        <x:v>Female</x:v>
      </x:c>
      <x:c r="C109" s="10" t="str">
        <x:v>5-40</x:v>
      </x:c>
      <x:c r="D109" s="11" t="str">
        <x:v>Training-reference 5-year bucket-adjusted BAG</x:v>
      </x:c>
      <x:c r="E109" s="12" t="n">
        <x:v>268</x:v>
      </x:c>
      <x:c r="F109" s="5" t="n">
        <x:v>19.59328358208955</x:v>
      </x:c>
      <x:c r="G109" s="5" t="n">
        <x:v>2.4484711353318853</x:v>
      </x:c>
      <x:c r="H109" s="5" t="n">
        <x:v>13</x:v>
      </x:c>
      <x:c r="I109" s="5" t="n">
        <x:v>24</x:v>
      </x:c>
      <x:c r="J109" s="5" t="n">
        <x:v>-0.7531445241862451</x:v>
      </x:c>
      <x:c r="K109" s="5" t="n">
        <x:v>3.14242587960074</x:v>
      </x:c>
      <x:c r="L109" s="5" t="n">
        <x:v>2.5728047407054477</x:v>
      </x:c>
    </x:row>
    <x:row r="110" ht="32" customHeight="1">
      <x:c r="A110" s="10" t="str">
        <x:v>Turkish</x:v>
      </x:c>
      <x:c r="B110" s="10" t="str">
        <x:v>Female</x:v>
      </x:c>
      <x:c r="C110" s="10" t="str">
        <x:v>5-40</x:v>
      </x:c>
      <x:c r="D110" s="11" t="str">
        <x:v>BrainAGE_S (cohort age-trend adjusted BAG)</x:v>
      </x:c>
      <x:c r="E110" s="12" t="n">
        <x:v>268</x:v>
      </x:c>
      <x:c r="F110" s="5" t="n">
        <x:v>19.59328358208955</x:v>
      </x:c>
      <x:c r="G110" s="5" t="n">
        <x:v>2.4484711353318853</x:v>
      </x:c>
      <x:c r="H110" s="5" t="n">
        <x:v>13</x:v>
      </x:c>
      <x:c r="I110" s="5" t="n">
        <x:v>24</x:v>
      </x:c>
      <x:c r="J110" s="5" t="n">
        <x:v>-0.4677516761140262</x:v>
      </x:c>
      <x:c r="K110" s="5" t="n">
        <x:v>3.0063911177194194</x:v>
      </x:c>
      <x:c r="L110" s="5" t="n">
        <x:v>2.4133286727229613</x:v>
      </x:c>
    </x:row>
    <x:row r="111" ht="32" customHeight="1">
      <x:c r="A111" s="10" t="str">
        <x:v>Turkish</x:v>
      </x:c>
      <x:c r="B111" s="10" t="str">
        <x:v>Male</x:v>
      </x:c>
      <x:c r="C111" s="10" t="str">
        <x:v>5-40</x:v>
      </x:c>
      <x:c r="D111" s="11" t="str">
        <x:v>Raw CentileBrain BAG</x:v>
      </x:c>
      <x:c r="E111" s="12" t="n">
        <x:v>154</x:v>
      </x:c>
      <x:c r="F111" s="5" t="n">
        <x:v>19.59090909090909</x:v>
      </x:c>
      <x:c r="G111" s="5" t="n">
        <x:v>2.3999282025307416</x:v>
      </x:c>
      <x:c r="H111" s="5" t="n">
        <x:v>14</x:v>
      </x:c>
      <x:c r="I111" s="5" t="n">
        <x:v>24</x:v>
      </x:c>
      <x:c r="J111" s="5" t="n">
        <x:v>-0.437793579191626</x:v>
      </x:c>
      <x:c r="K111" s="5" t="n">
        <x:v>3.5831694727113113</x:v>
      </x:c>
      <x:c r="L111" s="5" t="n">
        <x:v>2.864634009735683</x:v>
      </x:c>
    </x:row>
    <x:row r="112" ht="32" customHeight="1">
      <x:c r="A112" s="10" t="str">
        <x:v>Turkish</x:v>
      </x:c>
      <x:c r="B112" s="10" t="str">
        <x:v>Male</x:v>
      </x:c>
      <x:c r="C112" s="10" t="str">
        <x:v>5-40</x:v>
      </x:c>
      <x:c r="D112" s="11" t="str">
        <x:v>CentileBrain panel-adjusted BAG</x:v>
      </x:c>
      <x:c r="E112" s="12" t="n">
        <x:v>154</x:v>
      </x:c>
      <x:c r="F112" s="5" t="n">
        <x:v>19.59090909090909</x:v>
      </x:c>
      <x:c r="G112" s="5" t="n">
        <x:v>2.3999282025307416</x:v>
      </x:c>
      <x:c r="H112" s="5" t="n">
        <x:v>14</x:v>
      </x:c>
      <x:c r="I112" s="5" t="n">
        <x:v>24</x:v>
      </x:c>
      <x:c r="J112" s="5" t="n">
        <x:v>-0.24714756709446986</x:v>
      </x:c>
      <x:c r="K112" s="5" t="n">
        <x:v>3.394069306789935</x:v>
      </x:c>
      <x:c r="L112" s="5" t="n">
        <x:v>2.7091679439822633</x:v>
      </x:c>
    </x:row>
    <x:row r="113" ht="32" customHeight="1">
      <x:c r="A113" s="10" t="str">
        <x:v>Turkish</x:v>
      </x:c>
      <x:c r="B113" s="10" t="str">
        <x:v>Male</x:v>
      </x:c>
      <x:c r="C113" s="10" t="str">
        <x:v>5-40</x:v>
      </x:c>
      <x:c r="D113" s="11" t="str">
        <x:v>Training-reference 10-year bucket-adjusted BAG</x:v>
      </x:c>
      <x:c r="E113" s="12" t="n">
        <x:v>154</x:v>
      </x:c>
      <x:c r="F113" s="5" t="n">
        <x:v>19.59090909090909</x:v>
      </x:c>
      <x:c r="G113" s="5" t="n">
        <x:v>2.3999282025307416</x:v>
      </x:c>
      <x:c r="H113" s="5" t="n">
        <x:v>14</x:v>
      </x:c>
      <x:c r="I113" s="5" t="n">
        <x:v>24</x:v>
      </x:c>
      <x:c r="J113" s="5" t="n">
        <x:v>-0.6744871567400798</x:v>
      </x:c>
      <x:c r="K113" s="5" t="n">
        <x:v>3.552083584114612</x:v>
      </x:c>
      <x:c r="L113" s="5" t="n">
        <x:v>2.87009192657406</x:v>
      </x:c>
    </x:row>
    <x:row r="114" ht="32" customHeight="1">
      <x:c r="A114" s="10" t="str">
        <x:v>Turkish</x:v>
      </x:c>
      <x:c r="B114" s="10" t="str">
        <x:v>Male</x:v>
      </x:c>
      <x:c r="C114" s="10" t="str">
        <x:v>5-40</x:v>
      </x:c>
      <x:c r="D114" s="11" t="str">
        <x:v>Training-reference 5-year bucket-adjusted BAG</x:v>
      </x:c>
      <x:c r="E114" s="12" t="n">
        <x:v>154</x:v>
      </x:c>
      <x:c r="F114" s="5" t="n">
        <x:v>19.59090909090909</x:v>
      </x:c>
      <x:c r="G114" s="5" t="n">
        <x:v>2.3999282025307416</x:v>
      </x:c>
      <x:c r="H114" s="5" t="n">
        <x:v>14</x:v>
      </x:c>
      <x:c r="I114" s="5" t="n">
        <x:v>24</x:v>
      </x:c>
      <x:c r="J114" s="5" t="n">
        <x:v>-0.6929655041801889</x:v>
      </x:c>
      <x:c r="K114" s="5" t="n">
        <x:v>3.545542150347496</x:v>
      </x:c>
      <x:c r="L114" s="5" t="n">
        <x:v>2.8627700860962366</x:v>
      </x:c>
    </x:row>
    <x:row r="115" ht="32" customHeight="1">
      <x:c r="A115" s="10" t="str">
        <x:v>Turkish</x:v>
      </x:c>
      <x:c r="B115" s="10" t="str">
        <x:v>Male</x:v>
      </x:c>
      <x:c r="C115" s="10" t="str">
        <x:v>5-40</x:v>
      </x:c>
      <x:c r="D115" s="11" t="str">
        <x:v>BrainAGE_S (cohort age-trend adjusted BAG)</x:v>
      </x:c>
      <x:c r="E115" s="12" t="n">
        <x:v>154</x:v>
      </x:c>
      <x:c r="F115" s="5" t="n">
        <x:v>19.59090909090909</x:v>
      </x:c>
      <x:c r="G115" s="5" t="n">
        <x:v>2.3999282025307416</x:v>
      </x:c>
      <x:c r="H115" s="5" t="n">
        <x:v>14</x:v>
      </x:c>
      <x:c r="I115" s="5" t="n">
        <x:v>24</x:v>
      </x:c>
      <x:c r="J115" s="5" t="n">
        <x:v>-0.2471475670944698</x:v>
      </x:c>
      <x:c r="K115" s="5" t="n">
        <x:v>3.3928630504171617</x:v>
      </x:c>
      <x:c r="L115" s="5" t="n">
        <x:v>2.7101694589153396</x:v>
      </x:c>
    </x:row>
  </x:sheetData>
  <x:pageMargins left="0.7" right="0.7" top="0.75" bottom="0.75" header="0.3" footer="0.3"/>
  <x:tableParts count="1">
    <x:tablePart xmlns:r="http://schemas.openxmlformats.org/officeDocument/2006/relationships" r:id="R491d6b5df4694bc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0" hidden="0" customWidth="1"/>
    <x:col min="3" max="3" width="13" hidden="0" customWidth="1"/>
    <x:col min="4" max="4" width="48" hidden="0" customWidth="1"/>
    <x:col min="5" max="5" width="9" hidden="0" customWidth="1"/>
    <x:col min="6" max="6" width="14" hidden="0" customWidth="1"/>
    <x:col min="7" max="7" width="13" hidden="0" customWidth="1"/>
    <x:col min="8" max="8" width="13" hidden="0" customWidth="1"/>
    <x:col min="9" max="9" width="13" hidden="0" customWidth="1"/>
    <x:col min="10" max="10" width="20" hidden="0" customWidth="1"/>
    <x:col min="11" max="11" width="18" hidden="0" customWidth="1"/>
    <x:col min="12" max="12" width="13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5" customHeight="1">
      <x:c r="A2" s="2" t="str">
        <x:v>Available statistics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1" t="str">
        <x:v>Each method uses all of its eligible participants. N can differ between methods.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5" ht="38" customHeight="1">
      <x:c r="A5" s="9" t="str">
        <x:v>Group</x:v>
      </x:c>
      <x:c r="B5" s="9" t="str">
        <x:v>Sex</x:v>
      </x:c>
      <x:c r="C5" s="9" t="str">
        <x:v>Age panel</x:v>
      </x:c>
      <x:c r="D5" s="9" t="str">
        <x:v>Method</x:v>
      </x:c>
      <x:c r="E5" s="9" t="str">
        <x:v>N</x:v>
      </x:c>
      <x:c r="F5" s="9" t="str">
        <x:v>Age mean (yr)</x:v>
      </x:c>
      <x:c r="G5" s="9" t="str">
        <x:v>Age SD (yr)</x:v>
      </x:c>
      <x:c r="H5" s="9" t="str">
        <x:v>Age min (yr)</x:v>
      </x:c>
      <x:c r="I5" s="9" t="str">
        <x:v>Age max (yr)</x:v>
      </x:c>
      <x:c r="J5" s="9" t="str">
        <x:v>BrainAGE mean (yr)</x:v>
      </x:c>
      <x:c r="K5" s="9" t="str">
        <x:v>BrainAGE SD (yr)</x:v>
      </x:c>
      <x:c r="L5" s="9" t="str">
        <x:v>MAE (yr)</x:v>
      </x:c>
    </x:row>
    <x:row r="6" ht="32" customHeight="1">
      <x:c r="A6" s="10" t="str">
        <x:v>Black</x:v>
      </x:c>
      <x:c r="B6" s="10" t="str">
        <x:v>Female</x:v>
      </x:c>
      <x:c r="C6" s="10" t="str">
        <x:v>40-90</x:v>
      </x:c>
      <x:c r="D6" s="11" t="str">
        <x:v>Raw CentileBrain BAG</x:v>
      </x:c>
      <x:c r="E6" s="12" t="n">
        <x:v>159</x:v>
      </x:c>
      <x:c r="F6" s="5" t="n">
        <x:v>59.515723270440255</x:v>
      </x:c>
      <x:c r="G6" s="5" t="n">
        <x:v>7.135980631175066</x:v>
      </x:c>
      <x:c r="H6" s="5" t="n">
        <x:v>47</x:v>
      </x:c>
      <x:c r="I6" s="5" t="n">
        <x:v>79</x:v>
      </x:c>
      <x:c r="J6" s="5" t="n">
        <x:v>2.6401588898140775</x:v>
      </x:c>
      <x:c r="K6" s="5" t="n">
        <x:v>5.089850850388999</x:v>
      </x:c>
      <x:c r="L6" s="5" t="n">
        <x:v>4.704165327131363</x:v>
      </x:c>
    </x:row>
    <x:row r="7" ht="32" customHeight="1">
      <x:c r="A7" s="10" t="str">
        <x:v>Black</x:v>
      </x:c>
      <x:c r="B7" s="10" t="str">
        <x:v>Female</x:v>
      </x:c>
      <x:c r="C7" s="10" t="str">
        <x:v>40-90</x:v>
      </x:c>
      <x:c r="D7" s="11" t="str">
        <x:v>CentileBrain panel-adjusted BAG</x:v>
      </x:c>
      <x:c r="E7" s="12" t="n">
        <x:v>159</x:v>
      </x:c>
      <x:c r="F7" s="5" t="n">
        <x:v>59.515723270440255</x:v>
      </x:c>
      <x:c r="G7" s="5" t="n">
        <x:v>7.135980631175066</x:v>
      </x:c>
      <x:c r="H7" s="5" t="n">
        <x:v>47</x:v>
      </x:c>
      <x:c r="I7" s="5" t="n">
        <x:v>79</x:v>
      </x:c>
      <x:c r="J7" s="5" t="n">
        <x:v>1.3637740177577689</x:v>
      </x:c>
      <x:c r="K7" s="5" t="n">
        <x:v>3.7463643963329307</x:v>
      </x:c>
      <x:c r="L7" s="5" t="n">
        <x:v>3.201397522150511</x:v>
      </x:c>
    </x:row>
    <x:row r="8" ht="32" customHeight="1">
      <x:c r="A8" s="10" t="str">
        <x:v>Black</x:v>
      </x:c>
      <x:c r="B8" s="10" t="str">
        <x:v>Female</x:v>
      </x:c>
      <x:c r="C8" s="10" t="str">
        <x:v>40-90</x:v>
      </x:c>
      <x:c r="D8" s="11" t="str">
        <x:v>Training-reference 10-year bucket-adjusted BAG</x:v>
      </x:c>
      <x:c r="E8" s="12" t="n">
        <x:v>159</x:v>
      </x:c>
      <x:c r="F8" s="5" t="n">
        <x:v>59.515723270440255</x:v>
      </x:c>
      <x:c r="G8" s="5" t="n">
        <x:v>7.135980631175066</x:v>
      </x:c>
      <x:c r="H8" s="5" t="n">
        <x:v>47</x:v>
      </x:c>
      <x:c r="I8" s="5" t="n">
        <x:v>79</x:v>
      </x:c>
      <x:c r="J8" s="5" t="n">
        <x:v>1.5420613767658888</x:v>
      </x:c>
      <x:c r="K8" s="5" t="n">
        <x:v>3.799148725247507</x:v>
      </x:c>
      <x:c r="L8" s="5" t="n">
        <x:v>3.276655235850375</x:v>
      </x:c>
    </x:row>
    <x:row r="9" ht="32" customHeight="1">
      <x:c r="A9" s="10" t="str">
        <x:v>Black</x:v>
      </x:c>
      <x:c r="B9" s="10" t="str">
        <x:v>Female</x:v>
      </x:c>
      <x:c r="C9" s="10" t="str">
        <x:v>40-90</x:v>
      </x:c>
      <x:c r="D9" s="11" t="str">
        <x:v>Training-reference 5-year bucket-adjusted BAG</x:v>
      </x:c>
      <x:c r="E9" s="12" t="n">
        <x:v>159</x:v>
      </x:c>
      <x:c r="F9" s="5" t="n">
        <x:v>59.515723270440255</x:v>
      </x:c>
      <x:c r="G9" s="5" t="n">
        <x:v>7.135980631175066</x:v>
      </x:c>
      <x:c r="H9" s="5" t="n">
        <x:v>47</x:v>
      </x:c>
      <x:c r="I9" s="5" t="n">
        <x:v>79</x:v>
      </x:c>
      <x:c r="J9" s="5" t="n">
        <x:v>1.5297995950377108</x:v>
      </x:c>
      <x:c r="K9" s="5" t="n">
        <x:v>3.7860189466790932</x:v>
      </x:c>
      <x:c r="L9" s="5" t="n">
        <x:v>3.2660086311158905</x:v>
      </x:c>
    </x:row>
    <x:row r="10" ht="32" customHeight="1">
      <x:c r="A10" s="10" t="str">
        <x:v>Black</x:v>
      </x:c>
      <x:c r="B10" s="10" t="str">
        <x:v>Female</x:v>
      </x:c>
      <x:c r="C10" s="10" t="str">
        <x:v>40-90</x:v>
      </x:c>
      <x:c r="D10" s="11" t="str">
        <x:v>BrainAGE_S (cohort age-trend adjusted BAG)</x:v>
      </x:c>
      <x:c r="E10" s="12" t="n">
        <x:v>159</x:v>
      </x:c>
      <x:c r="F10" s="5" t="n">
        <x:v>59.515723270440255</x:v>
      </x:c>
      <x:c r="G10" s="5" t="n">
        <x:v>7.135980631175066</x:v>
      </x:c>
      <x:c r="H10" s="5" t="n">
        <x:v>47</x:v>
      </x:c>
      <x:c r="I10" s="5" t="n">
        <x:v>79</x:v>
      </x:c>
      <x:c r="J10" s="5" t="n">
        <x:v>1.363774017757769</x:v>
      </x:c>
      <x:c r="K10" s="5" t="n">
        <x:v>3.7462255940926052</x:v>
      </x:c>
      <x:c r="L10" s="5" t="n">
        <x:v>3.2019380873676453</x:v>
      </x:c>
    </x:row>
    <x:row r="11" ht="32" customHeight="1">
      <x:c r="A11" s="10" t="str">
        <x:v>Black</x:v>
      </x:c>
      <x:c r="B11" s="10" t="str">
        <x:v>Male</x:v>
      </x:c>
      <x:c r="C11" s="10" t="str">
        <x:v>40-90</x:v>
      </x:c>
      <x:c r="D11" s="11" t="str">
        <x:v>Raw CentileBrain BAG</x:v>
      </x:c>
      <x:c r="E11" s="12" t="n">
        <x:v>125</x:v>
      </x:c>
      <x:c r="F11" s="5" t="n">
        <x:v>58.84</x:v>
      </x:c>
      <x:c r="G11" s="5" t="n">
        <x:v>7.499892472347467</x:v>
      </x:c>
      <x:c r="H11" s="5" t="n">
        <x:v>47</x:v>
      </x:c>
      <x:c r="I11" s="5" t="n">
        <x:v>76</x:v>
      </x:c>
      <x:c r="J11" s="5" t="n">
        <x:v>4.004265542465054</x:v>
      </x:c>
      <x:c r="K11" s="5" t="n">
        <x:v>5.450742733671324</x:v>
      </x:c>
      <x:c r="L11" s="5" t="n">
        <x:v>5.596294685545595</x:v>
      </x:c>
    </x:row>
    <x:row r="12" ht="32" customHeight="1">
      <x:c r="A12" s="10" t="str">
        <x:v>Black</x:v>
      </x:c>
      <x:c r="B12" s="10" t="str">
        <x:v>Male</x:v>
      </x:c>
      <x:c r="C12" s="10" t="str">
        <x:v>40-90</x:v>
      </x:c>
      <x:c r="D12" s="11" t="str">
        <x:v>CentileBrain panel-adjusted BAG</x:v>
      </x:c>
      <x:c r="E12" s="12" t="n">
        <x:v>125</x:v>
      </x:c>
      <x:c r="F12" s="5" t="n">
        <x:v>58.84</x:v>
      </x:c>
      <x:c r="G12" s="5" t="n">
        <x:v>7.499892472347467</x:v>
      </x:c>
      <x:c r="H12" s="5" t="n">
        <x:v>47</x:v>
      </x:c>
      <x:c r="I12" s="5" t="n">
        <x:v>76</x:v>
      </x:c>
      <x:c r="J12" s="5" t="n">
        <x:v>2.4413456086110292</x:v>
      </x:c>
      <x:c r="K12" s="5" t="n">
        <x:v>4.099042768495567</x:v>
      </x:c>
      <x:c r="L12" s="5" t="n">
        <x:v>3.8390515673404915</x:v>
      </x:c>
    </x:row>
    <x:row r="13" ht="32" customHeight="1">
      <x:c r="A13" s="10" t="str">
        <x:v>Black</x:v>
      </x:c>
      <x:c r="B13" s="10" t="str">
        <x:v>Male</x:v>
      </x:c>
      <x:c r="C13" s="10" t="str">
        <x:v>40-90</x:v>
      </x:c>
      <x:c r="D13" s="11" t="str">
        <x:v>Training-reference 10-year bucket-adjusted BAG</x:v>
      </x:c>
      <x:c r="E13" s="12" t="n">
        <x:v>125</x:v>
      </x:c>
      <x:c r="F13" s="5" t="n">
        <x:v>58.84</x:v>
      </x:c>
      <x:c r="G13" s="5" t="n">
        <x:v>7.499892472347467</x:v>
      </x:c>
      <x:c r="H13" s="5" t="n">
        <x:v>47</x:v>
      </x:c>
      <x:c r="I13" s="5" t="n">
        <x:v>76</x:v>
      </x:c>
      <x:c r="J13" s="5" t="n">
        <x:v>2.707241410792813</x:v>
      </x:c>
      <x:c r="K13" s="5" t="n">
        <x:v>4.169961168946817</x:v>
      </x:c>
      <x:c r="L13" s="5" t="n">
        <x:v>3.9923671866457444</x:v>
      </x:c>
    </x:row>
    <x:row r="14" ht="32" customHeight="1">
      <x:c r="A14" s="10" t="str">
        <x:v>Black</x:v>
      </x:c>
      <x:c r="B14" s="10" t="str">
        <x:v>Male</x:v>
      </x:c>
      <x:c r="C14" s="10" t="str">
        <x:v>40-90</x:v>
      </x:c>
      <x:c r="D14" s="11" t="str">
        <x:v>Training-reference 5-year bucket-adjusted BAG</x:v>
      </x:c>
      <x:c r="E14" s="12" t="n">
        <x:v>125</x:v>
      </x:c>
      <x:c r="F14" s="5" t="n">
        <x:v>58.84</x:v>
      </x:c>
      <x:c r="G14" s="5" t="n">
        <x:v>7.499892472347467</x:v>
      </x:c>
      <x:c r="H14" s="5" t="n">
        <x:v>47</x:v>
      </x:c>
      <x:c r="I14" s="5" t="n">
        <x:v>76</x:v>
      </x:c>
      <x:c r="J14" s="5" t="n">
        <x:v>2.7043302398623212</x:v>
      </x:c>
      <x:c r="K14" s="5" t="n">
        <x:v>4.157077926959346</x:v>
      </x:c>
      <x:c r="L14" s="5" t="n">
        <x:v>3.9719585700217865</x:v>
      </x:c>
    </x:row>
    <x:row r="15" ht="32" customHeight="1">
      <x:c r="A15" s="10" t="str">
        <x:v>Black</x:v>
      </x:c>
      <x:c r="B15" s="10" t="str">
        <x:v>Male</x:v>
      </x:c>
      <x:c r="C15" s="10" t="str">
        <x:v>40-90</x:v>
      </x:c>
      <x:c r="D15" s="11" t="str">
        <x:v>BrainAGE_S (cohort age-trend adjusted BAG)</x:v>
      </x:c>
      <x:c r="E15" s="12" t="n">
        <x:v>125</x:v>
      </x:c>
      <x:c r="F15" s="5" t="n">
        <x:v>58.84</x:v>
      </x:c>
      <x:c r="G15" s="5" t="n">
        <x:v>7.499892472347467</x:v>
      </x:c>
      <x:c r="H15" s="5" t="n">
        <x:v>47</x:v>
      </x:c>
      <x:c r="I15" s="5" t="n">
        <x:v>76</x:v>
      </x:c>
      <x:c r="J15" s="5" t="n">
        <x:v>2.4413456086110297</x:v>
      </x:c>
      <x:c r="K15" s="5" t="n">
        <x:v>4.097054573410593</x:v>
      </x:c>
      <x:c r="L15" s="5" t="n">
        <x:v>3.8377884678297267</x:v>
      </x:c>
    </x:row>
    <x:row r="16" ht="32" customHeight="1">
      <x:c r="A16" s="10" t="str">
        <x:v>Chilean</x:v>
      </x:c>
      <x:c r="B16" s="10" t="str">
        <x:v>Female</x:v>
      </x:c>
      <x:c r="C16" s="10" t="str">
        <x:v>5-40</x:v>
      </x:c>
      <x:c r="D16" s="11" t="str">
        <x:v>Raw CentileBrain BAG</x:v>
      </x:c>
      <x:c r="E16" s="12" t="n">
        <x:v>27</x:v>
      </x:c>
      <x:c r="F16" s="5" t="n">
        <x:v>24.444444444444443</x:v>
      </x:c>
      <x:c r="G16" s="5" t="n">
        <x:v>3.0801265375272306</x:v>
      </x:c>
      <x:c r="H16" s="5" t="n">
        <x:v>19</x:v>
      </x:c>
      <x:c r="I16" s="5" t="n">
        <x:v>32</x:v>
      </x:c>
      <x:c r="J16" s="5" t="n">
        <x:v>2.4084380693095775</x:v>
      </x:c>
      <x:c r="K16" s="5" t="n">
        <x:v>3.3478890621605295</x:v>
      </x:c>
      <x:c r="L16" s="5" t="n">
        <x:v>3.1224423006663993</x:v>
      </x:c>
    </x:row>
    <x:row r="17" ht="32" customHeight="1">
      <x:c r="A17" s="10" t="str">
        <x:v>Chilean</x:v>
      </x:c>
      <x:c r="B17" s="10" t="str">
        <x:v>Female</x:v>
      </x:c>
      <x:c r="C17" s="10" t="str">
        <x:v>5-40</x:v>
      </x:c>
      <x:c r="D17" s="11" t="str">
        <x:v>CentileBrain panel-adjusted BAG</x:v>
      </x:c>
      <x:c r="E17" s="12" t="n">
        <x:v>27</x:v>
      </x:c>
      <x:c r="F17" s="5" t="n">
        <x:v>24.444444444444443</x:v>
      </x:c>
      <x:c r="G17" s="5" t="n">
        <x:v>3.0801265375272306</x:v>
      </x:c>
      <x:c r="H17" s="5" t="n">
        <x:v>19</x:v>
      </x:c>
      <x:c r="I17" s="5" t="n">
        <x:v>32</x:v>
      </x:c>
      <x:c r="J17" s="5" t="n">
        <x:v>3.44301259731997</x:v>
      </x:c>
      <x:c r="K17" s="5" t="n">
        <x:v>2.962648160440888</x:v>
      </x:c>
      <x:c r="L17" s="5" t="n">
        <x:v>3.5270129568919817</x:v>
      </x:c>
    </x:row>
    <x:row r="18" ht="32" customHeight="1">
      <x:c r="A18" s="10" t="str">
        <x:v>Chilean</x:v>
      </x:c>
      <x:c r="B18" s="10" t="str">
        <x:v>Female</x:v>
      </x:c>
      <x:c r="C18" s="10" t="str">
        <x:v>5-40</x:v>
      </x:c>
      <x:c r="D18" s="11" t="str">
        <x:v>Training-reference 10-year bucket-adjusted BAG</x:v>
      </x:c>
      <x:c r="E18" s="12" t="n">
        <x:v>27</x:v>
      </x:c>
      <x:c r="F18" s="5" t="n">
        <x:v>24.444444444444443</x:v>
      </x:c>
      <x:c r="G18" s="5" t="n">
        <x:v>3.0801265375272306</x:v>
      </x:c>
      <x:c r="H18" s="5" t="n">
        <x:v>19</x:v>
      </x:c>
      <x:c r="I18" s="5" t="n">
        <x:v>32</x:v>
      </x:c>
      <x:c r="J18" s="5" t="n">
        <x:v>2.8457027508382766</x:v>
      </x:c>
      <x:c r="K18" s="5" t="n">
        <x:v>3.108987161819194</x:v>
      </x:c>
      <x:c r="L18" s="5" t="n">
        <x:v>3.2123911241342027</x:v>
      </x:c>
    </x:row>
    <x:row r="19" ht="32" customHeight="1">
      <x:c r="A19" s="10" t="str">
        <x:v>Chilean</x:v>
      </x:c>
      <x:c r="B19" s="10" t="str">
        <x:v>Female</x:v>
      </x:c>
      <x:c r="C19" s="10" t="str">
        <x:v>5-40</x:v>
      </x:c>
      <x:c r="D19" s="11" t="str">
        <x:v>Training-reference 5-year bucket-adjusted BAG</x:v>
      </x:c>
      <x:c r="E19" s="12" t="n">
        <x:v>27</x:v>
      </x:c>
      <x:c r="F19" s="5" t="n">
        <x:v>24.444444444444443</x:v>
      </x:c>
      <x:c r="G19" s="5" t="n">
        <x:v>3.0801265375272306</x:v>
      </x:c>
      <x:c r="H19" s="5" t="n">
        <x:v>19</x:v>
      </x:c>
      <x:c r="I19" s="5" t="n">
        <x:v>32</x:v>
      </x:c>
      <x:c r="J19" s="5" t="n">
        <x:v>2.8750652828906236</x:v>
      </x:c>
      <x:c r="K19" s="5" t="n">
        <x:v>3.1335723255623793</x:v>
      </x:c>
      <x:c r="L19" s="5" t="n">
        <x:v>3.2234914988703838</x:v>
      </x:c>
    </x:row>
    <x:row r="20" ht="32" customHeight="1">
      <x:c r="A20" s="10" t="str">
        <x:v>Chilean</x:v>
      </x:c>
      <x:c r="B20" s="10" t="str">
        <x:v>Female</x:v>
      </x:c>
      <x:c r="C20" s="10" t="str">
        <x:v>5-40</x:v>
      </x:c>
      <x:c r="D20" s="11" t="str">
        <x:v>BrainAGE_S (cohort age-trend adjusted BAG)</x:v>
      </x:c>
      <x:c r="E20" s="12" t="n">
        <x:v>27</x:v>
      </x:c>
      <x:c r="F20" s="5" t="n">
        <x:v>24.444444444444443</x:v>
      </x:c>
      <x:c r="G20" s="5" t="n">
        <x:v>3.0801265375272306</x:v>
      </x:c>
      <x:c r="H20" s="5" t="n">
        <x:v>19</x:v>
      </x:c>
      <x:c r="I20" s="5" t="n">
        <x:v>32</x:v>
      </x:c>
      <x:c r="J20" s="5" t="n">
        <x:v>3.4430125973199694</x:v>
      </x:c>
      <x:c r="K20" s="5" t="n">
        <x:v>2.9608502940717285</x:v>
      </x:c>
      <x:c r="L20" s="5" t="n">
        <x:v>3.5377673922778463</x:v>
      </x:c>
    </x:row>
    <x:row r="21" ht="32" customHeight="1">
      <x:c r="A21" s="10" t="str">
        <x:v>Chilean</x:v>
      </x:c>
      <x:c r="B21" s="10" t="str">
        <x:v>Male</x:v>
      </x:c>
      <x:c r="C21" s="10" t="str">
        <x:v>5-40</x:v>
      </x:c>
      <x:c r="D21" s="11" t="str">
        <x:v>Raw CentileBrain BAG</x:v>
      </x:c>
      <x:c r="E21" s="12" t="n">
        <x:v>56</x:v>
      </x:c>
      <x:c r="F21" s="5" t="n">
        <x:v>22.678571428571427</x:v>
      </x:c>
      <x:c r="G21" s="5" t="n">
        <x:v>3.6735276227088853</x:v>
      </x:c>
      <x:c r="H21" s="5" t="n">
        <x:v>18</x:v>
      </x:c>
      <x:c r="I21" s="5" t="n">
        <x:v>32</x:v>
      </x:c>
      <x:c r="J21" s="5" t="n">
        <x:v>1.5646399150251606</x:v>
      </x:c>
      <x:c r="K21" s="5" t="n">
        <x:v>3.988346154771064</x:v>
      </x:c>
      <x:c r="L21" s="5" t="n">
        <x:v>3.5325292484813176</x:v>
      </x:c>
    </x:row>
    <x:row r="22" ht="32" customHeight="1">
      <x:c r="A22" s="10" t="str">
        <x:v>Chilean</x:v>
      </x:c>
      <x:c r="B22" s="10" t="str">
        <x:v>Male</x:v>
      </x:c>
      <x:c r="C22" s="10" t="str">
        <x:v>5-40</x:v>
      </x:c>
      <x:c r="D22" s="11" t="str">
        <x:v>CentileBrain panel-adjusted BAG</x:v>
      </x:c>
      <x:c r="E22" s="12" t="n">
        <x:v>56</x:v>
      </x:c>
      <x:c r="F22" s="5" t="n">
        <x:v>22.678571428571427</x:v>
      </x:c>
      <x:c r="G22" s="5" t="n">
        <x:v>3.6735276227088853</x:v>
      </x:c>
      <x:c r="H22" s="5" t="n">
        <x:v>18</x:v>
      </x:c>
      <x:c r="I22" s="5" t="n">
        <x:v>32</x:v>
      </x:c>
      <x:c r="J22" s="5" t="n">
        <x:v>2.0836188890031098</x:v>
      </x:c>
      <x:c r="K22" s="5" t="n">
        <x:v>3.569948790110473</x:v>
      </x:c>
      <x:c r="L22" s="5" t="n">
        <x:v>3.3954650141112483</x:v>
      </x:c>
    </x:row>
    <x:row r="23" ht="32" customHeight="1">
      <x:c r="A23" s="10" t="str">
        <x:v>Chilean</x:v>
      </x:c>
      <x:c r="B23" s="10" t="str">
        <x:v>Male</x:v>
      </x:c>
      <x:c r="C23" s="10" t="str">
        <x:v>5-40</x:v>
      </x:c>
      <x:c r="D23" s="11" t="str">
        <x:v>Training-reference 10-year bucket-adjusted BAG</x:v>
      </x:c>
      <x:c r="E23" s="12" t="n">
        <x:v>56</x:v>
      </x:c>
      <x:c r="F23" s="5" t="n">
        <x:v>22.678571428571427</x:v>
      </x:c>
      <x:c r="G23" s="5" t="n">
        <x:v>3.6735276227088853</x:v>
      </x:c>
      <x:c r="H23" s="5" t="n">
        <x:v>18</x:v>
      </x:c>
      <x:c r="I23" s="5" t="n">
        <x:v>32</x:v>
      </x:c>
      <x:c r="J23" s="5" t="n">
        <x:v>1.714219155559697</x:v>
      </x:c>
      <x:c r="K23" s="5" t="n">
        <x:v>3.769461033666317</x:v>
      </x:c>
      <x:c r="L23" s="5" t="n">
        <x:v>3.4222029926074287</x:v>
      </x:c>
    </x:row>
    <x:row r="24" ht="32" customHeight="1">
      <x:c r="A24" s="10" t="str">
        <x:v>Chilean</x:v>
      </x:c>
      <x:c r="B24" s="10" t="str">
        <x:v>Male</x:v>
      </x:c>
      <x:c r="C24" s="10" t="str">
        <x:v>5-40</x:v>
      </x:c>
      <x:c r="D24" s="11" t="str">
        <x:v>Training-reference 5-year bucket-adjusted BAG</x:v>
      </x:c>
      <x:c r="E24" s="12" t="n">
        <x:v>56</x:v>
      </x:c>
      <x:c r="F24" s="5" t="n">
        <x:v>22.678571428571427</x:v>
      </x:c>
      <x:c r="G24" s="5" t="n">
        <x:v>3.6735276227088853</x:v>
      </x:c>
      <x:c r="H24" s="5" t="n">
        <x:v>18</x:v>
      </x:c>
      <x:c r="I24" s="5" t="n">
        <x:v>32</x:v>
      </x:c>
      <x:c r="J24" s="5" t="n">
        <x:v>1.6990183454530388</x:v>
      </x:c>
      <x:c r="K24" s="5" t="n">
        <x:v>3.739485534099036</x:v>
      </x:c>
      <x:c r="L24" s="5" t="n">
        <x:v>3.397048206160314</x:v>
      </x:c>
    </x:row>
    <x:row r="25" ht="32" customHeight="1">
      <x:c r="A25" s="10" t="str">
        <x:v>Chilean</x:v>
      </x:c>
      <x:c r="B25" s="10" t="str">
        <x:v>Male</x:v>
      </x:c>
      <x:c r="C25" s="10" t="str">
        <x:v>5-40</x:v>
      </x:c>
      <x:c r="D25" s="11" t="str">
        <x:v>BrainAGE_S (cohort age-trend adjusted BAG)</x:v>
      </x:c>
      <x:c r="E25" s="12" t="n">
        <x:v>56</x:v>
      </x:c>
      <x:c r="F25" s="5" t="n">
        <x:v>22.678571428571427</x:v>
      </x:c>
      <x:c r="G25" s="5" t="n">
        <x:v>3.6735276227088853</x:v>
      </x:c>
      <x:c r="H25" s="5" t="n">
        <x:v>18</x:v>
      </x:c>
      <x:c r="I25" s="5" t="n">
        <x:v>32</x:v>
      </x:c>
      <x:c r="J25" s="5" t="n">
        <x:v>2.0836188890031098</x:v>
      </x:c>
      <x:c r="K25" s="5" t="n">
        <x:v>3.526044622309917</x:v>
      </x:c>
      <x:c r="L25" s="5" t="n">
        <x:v>3.3581873752644458</x:v>
      </x:c>
    </x:row>
    <x:row r="26" ht="32" customHeight="1">
      <x:c r="A26" s="10" t="str">
        <x:v>Chinese</x:v>
      </x:c>
      <x:c r="B26" s="10" t="str">
        <x:v>Female</x:v>
      </x:c>
      <x:c r="C26" s="10" t="str">
        <x:v>5-40</x:v>
      </x:c>
      <x:c r="D26" s="11" t="str">
        <x:v>Raw CentileBrain BAG</x:v>
      </x:c>
      <x:c r="E26" s="12" t="n">
        <x:v>547</x:v>
      </x:c>
      <x:c r="F26" s="5" t="n">
        <x:v>21.758683729433272</x:v>
      </x:c>
      <x:c r="G26" s="5" t="n">
        <x:v>3.899409707437319</x:v>
      </x:c>
      <x:c r="H26" s="5" t="n">
        <x:v>17</x:v>
      </x:c>
      <x:c r="I26" s="5" t="n">
        <x:v>39</x:v>
      </x:c>
      <x:c r="J26" s="5" t="n">
        <x:v>0.9317792001265633</x:v>
      </x:c>
      <x:c r="K26" s="5" t="n">
        <x:v>4.119193109877572</x:v>
      </x:c>
      <x:c r="L26" s="5" t="n">
        <x:v>3.2108876735995295</x:v>
      </x:c>
    </x:row>
    <x:row r="27" ht="32" customHeight="1">
      <x:c r="A27" s="10" t="str">
        <x:v>Chinese</x:v>
      </x:c>
      <x:c r="B27" s="10" t="str">
        <x:v>Female</x:v>
      </x:c>
      <x:c r="C27" s="10" t="str">
        <x:v>5-40</x:v>
      </x:c>
      <x:c r="D27" s="11" t="str">
        <x:v>CentileBrain panel-adjusted BAG</x:v>
      </x:c>
      <x:c r="E27" s="12" t="n">
        <x:v>547</x:v>
      </x:c>
      <x:c r="F27" s="5" t="n">
        <x:v>21.758683729433272</x:v>
      </x:c>
      <x:c r="G27" s="5" t="n">
        <x:v>3.899409707437319</x:v>
      </x:c>
      <x:c r="H27" s="5" t="n">
        <x:v>17</x:v>
      </x:c>
      <x:c r="I27" s="5" t="n">
        <x:v>39</x:v>
      </x:c>
      <x:c r="J27" s="5" t="n">
        <x:v>2.167043180506354</x:v>
      </x:c>
      <x:c r="K27" s="5" t="n">
        <x:v>3.031332643480401</x:v>
      </x:c>
      <x:c r="L27" s="5" t="n">
        <x:v>2.988168294188121</x:v>
      </x:c>
    </x:row>
    <x:row r="28" ht="32" customHeight="1">
      <x:c r="A28" s="10" t="str">
        <x:v>Chinese</x:v>
      </x:c>
      <x:c r="B28" s="10" t="str">
        <x:v>Female</x:v>
      </x:c>
      <x:c r="C28" s="10" t="str">
        <x:v>5-40</x:v>
      </x:c>
      <x:c r="D28" s="11" t="str">
        <x:v>Training-reference 10-year bucket-adjusted BAG</x:v>
      </x:c>
      <x:c r="E28" s="12" t="n">
        <x:v>547</x:v>
      </x:c>
      <x:c r="F28" s="5" t="n">
        <x:v>21.758683729433272</x:v>
      </x:c>
      <x:c r="G28" s="5" t="n">
        <x:v>3.899409707437319</x:v>
      </x:c>
      <x:c r="H28" s="5" t="n">
        <x:v>17</x:v>
      </x:c>
      <x:c r="I28" s="5" t="n">
        <x:v>39</x:v>
      </x:c>
      <x:c r="J28" s="5" t="n">
        <x:v>1.0586848393578085</x:v>
      </x:c>
      <x:c r="K28" s="5" t="n">
        <x:v>3.4751946286309012</x:v>
      </x:c>
      <x:c r="L28" s="5" t="n">
        <x:v>2.88159966395097</x:v>
      </x:c>
    </x:row>
    <x:row r="29" ht="32" customHeight="1">
      <x:c r="A29" s="10" t="str">
        <x:v>Chinese</x:v>
      </x:c>
      <x:c r="B29" s="10" t="str">
        <x:v>Female</x:v>
      </x:c>
      <x:c r="C29" s="10" t="str">
        <x:v>5-40</x:v>
      </x:c>
      <x:c r="D29" s="11" t="str">
        <x:v>Training-reference 5-year bucket-adjusted BAG</x:v>
      </x:c>
      <x:c r="E29" s="12" t="n">
        <x:v>547</x:v>
      </x:c>
      <x:c r="F29" s="5" t="n">
        <x:v>21.758683729433272</x:v>
      </x:c>
      <x:c r="G29" s="5" t="n">
        <x:v>3.899409707437319</x:v>
      </x:c>
      <x:c r="H29" s="5" t="n">
        <x:v>17</x:v>
      </x:c>
      <x:c r="I29" s="5" t="n">
        <x:v>39</x:v>
      </x:c>
      <x:c r="J29" s="5" t="n">
        <x:v>1.0373619528085152</x:v>
      </x:c>
      <x:c r="K29" s="5" t="n">
        <x:v>3.452065939458471</x:v>
      </x:c>
      <x:c r="L29" s="5" t="n">
        <x:v>2.8582840204240108</x:v>
      </x:c>
    </x:row>
    <x:row r="30" ht="32" customHeight="1">
      <x:c r="A30" s="10" t="str">
        <x:v>Chinese</x:v>
      </x:c>
      <x:c r="B30" s="10" t="str">
        <x:v>Female</x:v>
      </x:c>
      <x:c r="C30" s="10" t="str">
        <x:v>5-40</x:v>
      </x:c>
      <x:c r="D30" s="11" t="str">
        <x:v>BrainAGE_S (cohort age-trend adjusted BAG)</x:v>
      </x:c>
      <x:c r="E30" s="12" t="n">
        <x:v>547</x:v>
      </x:c>
      <x:c r="F30" s="5" t="n">
        <x:v>21.758683729433272</x:v>
      </x:c>
      <x:c r="G30" s="5" t="n">
        <x:v>3.899409707437319</x:v>
      </x:c>
      <x:c r="H30" s="5" t="n">
        <x:v>17</x:v>
      </x:c>
      <x:c r="I30" s="5" t="n">
        <x:v>39</x:v>
      </x:c>
      <x:c r="J30" s="5" t="n">
        <x:v>2.167043180506354</x:v>
      </x:c>
      <x:c r="K30" s="5" t="n">
        <x:v>3.031178049161753</x:v>
      </x:c>
      <x:c r="L30" s="5" t="n">
        <x:v>2.9878020757122123</x:v>
      </x:c>
    </x:row>
    <x:row r="31" ht="32" customHeight="1">
      <x:c r="A31" s="10" t="str">
        <x:v>Chinese</x:v>
      </x:c>
      <x:c r="B31" s="10" t="str">
        <x:v>Female</x:v>
      </x:c>
      <x:c r="C31" s="10" t="str">
        <x:v>40-90</x:v>
      </x:c>
      <x:c r="D31" s="11" t="str">
        <x:v>Raw CentileBrain BAG</x:v>
      </x:c>
      <x:c r="E31" s="12" t="n">
        <x:v>324</x:v>
      </x:c>
      <x:c r="F31" s="5" t="n">
        <x:v>58.56481481481482</x:v>
      </x:c>
      <x:c r="G31" s="5" t="n">
        <x:v>8.311586692095155</x:v>
      </x:c>
      <x:c r="H31" s="5" t="n">
        <x:v>41</x:v>
      </x:c>
      <x:c r="I31" s="5" t="n">
        <x:v>78</x:v>
      </x:c>
      <x:c r="J31" s="5" t="n">
        <x:v>4.353824270456496</x:v>
      </x:c>
      <x:c r="K31" s="5" t="n">
        <x:v>6.384605044422291</x:v>
      </x:c>
      <x:c r="L31" s="5" t="n">
        <x:v>6.167967327673254</x:v>
      </x:c>
    </x:row>
    <x:row r="32" ht="32" customHeight="1">
      <x:c r="A32" s="10" t="str">
        <x:v>Chinese</x:v>
      </x:c>
      <x:c r="B32" s="10" t="str">
        <x:v>Female</x:v>
      </x:c>
      <x:c r="C32" s="10" t="str">
        <x:v>40-90</x:v>
      </x:c>
      <x:c r="D32" s="11" t="str">
        <x:v>CentileBrain panel-adjusted BAG</x:v>
      </x:c>
      <x:c r="E32" s="12" t="n">
        <x:v>324</x:v>
      </x:c>
      <x:c r="F32" s="5" t="n">
        <x:v>58.56481481481482</x:v>
      </x:c>
      <x:c r="G32" s="5" t="n">
        <x:v>8.311586692095155</x:v>
      </x:c>
      <x:c r="H32" s="5" t="n">
        <x:v>41</x:v>
      </x:c>
      <x:c r="I32" s="5" t="n">
        <x:v>78</x:v>
      </x:c>
      <x:c r="J32" s="5" t="n">
        <x:v>2.4327738703834156</x:v>
      </x:c>
      <x:c r="K32" s="5" t="n">
        <x:v>4.340140449705263</x:v>
      </x:c>
      <x:c r="L32" s="5" t="n">
        <x:v>3.891747656538399</x:v>
      </x:c>
    </x:row>
    <x:row r="33" ht="32" customHeight="1">
      <x:c r="A33" s="10" t="str">
        <x:v>Chinese</x:v>
      </x:c>
      <x:c r="B33" s="10" t="str">
        <x:v>Female</x:v>
      </x:c>
      <x:c r="C33" s="10" t="str">
        <x:v>40-90</x:v>
      </x:c>
      <x:c r="D33" s="11" t="str">
        <x:v>Training-reference 10-year bucket-adjusted BAG</x:v>
      </x:c>
      <x:c r="E33" s="12" t="n">
        <x:v>324</x:v>
      </x:c>
      <x:c r="F33" s="5" t="n">
        <x:v>58.56481481481482</x:v>
      </x:c>
      <x:c r="G33" s="5" t="n">
        <x:v>8.311586692095155</x:v>
      </x:c>
      <x:c r="H33" s="5" t="n">
        <x:v>41</x:v>
      </x:c>
      <x:c r="I33" s="5" t="n">
        <x:v>78</x:v>
      </x:c>
      <x:c r="J33" s="5" t="n">
        <x:v>2.746713490881743</x:v>
      </x:c>
      <x:c r="K33" s="5" t="n">
        <x:v>4.4495400001430765</x:v>
      </x:c>
      <x:c r="L33" s="5" t="n">
        <x:v>4.08391767468489</x:v>
      </x:c>
    </x:row>
    <x:row r="34" ht="32" customHeight="1">
      <x:c r="A34" s="10" t="str">
        <x:v>Chinese</x:v>
      </x:c>
      <x:c r="B34" s="10" t="str">
        <x:v>Female</x:v>
      </x:c>
      <x:c r="C34" s="10" t="str">
        <x:v>40-90</x:v>
      </x:c>
      <x:c r="D34" s="11" t="str">
        <x:v>Training-reference 5-year bucket-adjusted BAG</x:v>
      </x:c>
      <x:c r="E34" s="12" t="n">
        <x:v>324</x:v>
      </x:c>
      <x:c r="F34" s="5" t="n">
        <x:v>58.56481481481482</x:v>
      </x:c>
      <x:c r="G34" s="5" t="n">
        <x:v>8.311586692095155</x:v>
      </x:c>
      <x:c r="H34" s="5" t="n">
        <x:v>41</x:v>
      </x:c>
      <x:c r="I34" s="5" t="n">
        <x:v>78</x:v>
      </x:c>
      <x:c r="J34" s="5" t="n">
        <x:v>2.724009507563644</x:v>
      </x:c>
      <x:c r="K34" s="5" t="n">
        <x:v>4.45231887598535</x:v>
      </x:c>
      <x:c r="L34" s="5" t="n">
        <x:v>4.081750885226088</x:v>
      </x:c>
    </x:row>
    <x:row r="35" ht="32" customHeight="1">
      <x:c r="A35" s="10" t="str">
        <x:v>Chinese</x:v>
      </x:c>
      <x:c r="B35" s="10" t="str">
        <x:v>Female</x:v>
      </x:c>
      <x:c r="C35" s="10" t="str">
        <x:v>40-90</x:v>
      </x:c>
      <x:c r="D35" s="11" t="str">
        <x:v>BrainAGE_S (cohort age-trend adjusted BAG)</x:v>
      </x:c>
      <x:c r="E35" s="12" t="n">
        <x:v>324</x:v>
      </x:c>
      <x:c r="F35" s="5" t="n">
        <x:v>58.56481481481482</x:v>
      </x:c>
      <x:c r="G35" s="5" t="n">
        <x:v>8.311586692095155</x:v>
      </x:c>
      <x:c r="H35" s="5" t="n">
        <x:v>41</x:v>
      </x:c>
      <x:c r="I35" s="5" t="n">
        <x:v>78</x:v>
      </x:c>
      <x:c r="J35" s="5" t="n">
        <x:v>2.432773870383415</x:v>
      </x:c>
      <x:c r="K35" s="5" t="n">
        <x:v>4.33066393312887</x:v>
      </x:c>
      <x:c r="L35" s="5" t="n">
        <x:v>3.8914894586764968</x:v>
      </x:c>
    </x:row>
    <x:row r="36" ht="32" customHeight="1">
      <x:c r="A36" s="10" t="str">
        <x:v>Chinese</x:v>
      </x:c>
      <x:c r="B36" s="10" t="str">
        <x:v>Male</x:v>
      </x:c>
      <x:c r="C36" s="10" t="str">
        <x:v>5-40</x:v>
      </x:c>
      <x:c r="D36" s="11" t="str">
        <x:v>Raw CentileBrain BAG</x:v>
      </x:c>
      <x:c r="E36" s="12" t="n">
        <x:v>418</x:v>
      </x:c>
      <x:c r="F36" s="5" t="n">
        <x:v>22.416267942583733</x:v>
      </x:c>
      <x:c r="G36" s="5" t="n">
        <x:v>3.949795665415896</x:v>
      </x:c>
      <x:c r="H36" s="5" t="n">
        <x:v>17</x:v>
      </x:c>
      <x:c r="I36" s="5" t="n">
        <x:v>39</x:v>
      </x:c>
      <x:c r="J36" s="5" t="n">
        <x:v>-0.039777493236012075</x:v>
      </x:c>
      <x:c r="K36" s="5" t="n">
        <x:v>4.369703707730391</x:v>
      </x:c>
      <x:c r="L36" s="5" t="n">
        <x:v>3.229822261122588</x:v>
      </x:c>
    </x:row>
    <x:row r="37" ht="32" customHeight="1">
      <x:c r="A37" s="10" t="str">
        <x:v>Chinese</x:v>
      </x:c>
      <x:c r="B37" s="10" t="str">
        <x:v>Male</x:v>
      </x:c>
      <x:c r="C37" s="10" t="str">
        <x:v>5-40</x:v>
      </x:c>
      <x:c r="D37" s="11" t="str">
        <x:v>CentileBrain panel-adjusted BAG</x:v>
      </x:c>
      <x:c r="E37" s="12" t="n">
        <x:v>418</x:v>
      </x:c>
      <x:c r="F37" s="5" t="n">
        <x:v>22.416267942583733</x:v>
      </x:c>
      <x:c r="G37" s="5" t="n">
        <x:v>3.949795665415896</x:v>
      </x:c>
      <x:c r="H37" s="5" t="n">
        <x:v>17</x:v>
      </x:c>
      <x:c r="I37" s="5" t="n">
        <x:v>39</x:v>
      </x:c>
      <x:c r="J37" s="5" t="n">
        <x:v>0.43703349342736464</x:v>
      </x:c>
      <x:c r="K37" s="5" t="n">
        <x:v>3.573163280031065</x:v>
      </x:c>
      <x:c r="L37" s="5" t="n">
        <x:v>2.8189900498034803</x:v>
      </x:c>
    </x:row>
    <x:row r="38" ht="32" customHeight="1">
      <x:c r="A38" s="10" t="str">
        <x:v>Chinese</x:v>
      </x:c>
      <x:c r="B38" s="10" t="str">
        <x:v>Male</x:v>
      </x:c>
      <x:c r="C38" s="10" t="str">
        <x:v>5-40</x:v>
      </x:c>
      <x:c r="D38" s="11" t="str">
        <x:v>Training-reference 10-year bucket-adjusted BAG</x:v>
      </x:c>
      <x:c r="E38" s="12" t="n">
        <x:v>418</x:v>
      </x:c>
      <x:c r="F38" s="5" t="n">
        <x:v>22.416267942583733</x:v>
      </x:c>
      <x:c r="G38" s="5" t="n">
        <x:v>3.949795665415896</x:v>
      </x:c>
      <x:c r="H38" s="5" t="n">
        <x:v>17</x:v>
      </x:c>
      <x:c r="I38" s="5" t="n">
        <x:v>39</x:v>
      </x:c>
      <x:c r="J38" s="5" t="n">
        <x:v>0.14019274937217666</x:v>
      </x:c>
      <x:c r="K38" s="5" t="n">
        <x:v>3.85315965938574</x:v>
      </x:c>
      <x:c r="L38" s="5" t="n">
        <x:v>2.973109439167698</x:v>
      </x:c>
    </x:row>
    <x:row r="39" ht="32" customHeight="1">
      <x:c r="A39" s="10" t="str">
        <x:v>Chinese</x:v>
      </x:c>
      <x:c r="B39" s="10" t="str">
        <x:v>Male</x:v>
      </x:c>
      <x:c r="C39" s="10" t="str">
        <x:v>5-40</x:v>
      </x:c>
      <x:c r="D39" s="11" t="str">
        <x:v>Training-reference 5-year bucket-adjusted BAG</x:v>
      </x:c>
      <x:c r="E39" s="12" t="n">
        <x:v>418</x:v>
      </x:c>
      <x:c r="F39" s="5" t="n">
        <x:v>22.416267942583733</x:v>
      </x:c>
      <x:c r="G39" s="5" t="n">
        <x:v>3.949795665415896</x:v>
      </x:c>
      <x:c r="H39" s="5" t="n">
        <x:v>17</x:v>
      </x:c>
      <x:c r="I39" s="5" t="n">
        <x:v>39</x:v>
      </x:c>
      <x:c r="J39" s="5" t="n">
        <x:v>0.11513847204895877</x:v>
      </x:c>
      <x:c r="K39" s="5" t="n">
        <x:v>3.8475424925047657</x:v>
      </x:c>
      <x:c r="L39" s="5" t="n">
        <x:v>2.9750112399337176</x:v>
      </x:c>
    </x:row>
    <x:row r="40" ht="32" customHeight="1">
      <x:c r="A40" s="10" t="str">
        <x:v>Chinese</x:v>
      </x:c>
      <x:c r="B40" s="10" t="str">
        <x:v>Male</x:v>
      </x:c>
      <x:c r="C40" s="10" t="str">
        <x:v>5-40</x:v>
      </x:c>
      <x:c r="D40" s="11" t="str">
        <x:v>BrainAGE_S (cohort age-trend adjusted BAG)</x:v>
      </x:c>
      <x:c r="E40" s="12" t="n">
        <x:v>418</x:v>
      </x:c>
      <x:c r="F40" s="5" t="n">
        <x:v>22.416267942583733</x:v>
      </x:c>
      <x:c r="G40" s="5" t="n">
        <x:v>3.949795665415896</x:v>
      </x:c>
      <x:c r="H40" s="5" t="n">
        <x:v>17</x:v>
      </x:c>
      <x:c r="I40" s="5" t="n">
        <x:v>39</x:v>
      </x:c>
      <x:c r="J40" s="5" t="n">
        <x:v>0.43703349342736453</x:v>
      </x:c>
      <x:c r="K40" s="5" t="n">
        <x:v>3.497457399951015</x:v>
      </x:c>
      <x:c r="L40" s="5" t="n">
        <x:v>2.7749034007664446</x:v>
      </x:c>
    </x:row>
    <x:row r="41" ht="32" customHeight="1">
      <x:c r="A41" s="10" t="str">
        <x:v>Chinese</x:v>
      </x:c>
      <x:c r="B41" s="10" t="str">
        <x:v>Male</x:v>
      </x:c>
      <x:c r="C41" s="10" t="str">
        <x:v>40-90</x:v>
      </x:c>
      <x:c r="D41" s="11" t="str">
        <x:v>Raw CentileBrain BAG</x:v>
      </x:c>
      <x:c r="E41" s="12" t="n">
        <x:v>194</x:v>
      </x:c>
      <x:c r="F41" s="5" t="n">
        <x:v>60.41752577319588</x:v>
      </x:c>
      <x:c r="G41" s="5" t="n">
        <x:v>8.267916771018738</x:v>
      </x:c>
      <x:c r="H41" s="5" t="n">
        <x:v>41</x:v>
      </x:c>
      <x:c r="I41" s="5" t="n">
        <x:v>80</x:v>
      </x:c>
      <x:c r="J41" s="5" t="n">
        <x:v>3.057810147431758</x:v>
      </x:c>
      <x:c r="K41" s="5" t="n">
        <x:v>6.504799301607256</x:v>
      </x:c>
      <x:c r="L41" s="5" t="n">
        <x:v>5.612020182531714</x:v>
      </x:c>
    </x:row>
    <x:row r="42" ht="32" customHeight="1">
      <x:c r="A42" s="10" t="str">
        <x:v>Chinese</x:v>
      </x:c>
      <x:c r="B42" s="10" t="str">
        <x:v>Male</x:v>
      </x:c>
      <x:c r="C42" s="10" t="str">
        <x:v>40-90</x:v>
      </x:c>
      <x:c r="D42" s="11" t="str">
        <x:v>CentileBrain panel-adjusted BAG</x:v>
      </x:c>
      <x:c r="E42" s="12" t="n">
        <x:v>194</x:v>
      </x:c>
      <x:c r="F42" s="5" t="n">
        <x:v>60.41752577319588</x:v>
      </x:c>
      <x:c r="G42" s="5" t="n">
        <x:v>8.267916771018738</x:v>
      </x:c>
      <x:c r="H42" s="5" t="n">
        <x:v>41</x:v>
      </x:c>
      <x:c r="I42" s="5" t="n">
        <x:v>80</x:v>
      </x:c>
      <x:c r="J42" s="5" t="n">
        <x:v>2.2009086108233555</x:v>
      </x:c>
      <x:c r="K42" s="5" t="n">
        <x:v>4.349160377813303</x:v>
      </x:c>
      <x:c r="L42" s="5" t="n">
        <x:v>3.7867289595906723</x:v>
      </x:c>
    </x:row>
    <x:row r="43" ht="32" customHeight="1">
      <x:c r="A43" s="10" t="str">
        <x:v>Chinese</x:v>
      </x:c>
      <x:c r="B43" s="10" t="str">
        <x:v>Male</x:v>
      </x:c>
      <x:c r="C43" s="10" t="str">
        <x:v>40-90</x:v>
      </x:c>
      <x:c r="D43" s="11" t="str">
        <x:v>Training-reference 10-year bucket-adjusted BAG</x:v>
      </x:c>
      <x:c r="E43" s="12" t="n">
        <x:v>194</x:v>
      </x:c>
      <x:c r="F43" s="5" t="n">
        <x:v>60.41752577319588</x:v>
      </x:c>
      <x:c r="G43" s="5" t="n">
        <x:v>8.267916771018738</x:v>
      </x:c>
      <x:c r="H43" s="5" t="n">
        <x:v>41</x:v>
      </x:c>
      <x:c r="I43" s="5" t="n">
        <x:v>80</x:v>
      </x:c>
      <x:c r="J43" s="5" t="n">
        <x:v>2.3916009932637086</x:v>
      </x:c>
      <x:c r="K43" s="5" t="n">
        <x:v>4.613912639451942</x:v>
      </x:c>
      <x:c r="L43" s="5" t="n">
        <x:v>4.030963472919135</x:v>
      </x:c>
    </x:row>
    <x:row r="44" ht="32" customHeight="1">
      <x:c r="A44" s="10" t="str">
        <x:v>Chinese</x:v>
      </x:c>
      <x:c r="B44" s="10" t="str">
        <x:v>Male</x:v>
      </x:c>
      <x:c r="C44" s="10" t="str">
        <x:v>40-90</x:v>
      </x:c>
      <x:c r="D44" s="11" t="str">
        <x:v>Training-reference 5-year bucket-adjusted BAG</x:v>
      </x:c>
      <x:c r="E44" s="12" t="n">
        <x:v>194</x:v>
      </x:c>
      <x:c r="F44" s="5" t="n">
        <x:v>60.41752577319588</x:v>
      </x:c>
      <x:c r="G44" s="5" t="n">
        <x:v>8.267916771018738</x:v>
      </x:c>
      <x:c r="H44" s="5" t="n">
        <x:v>41</x:v>
      </x:c>
      <x:c r="I44" s="5" t="n">
        <x:v>80</x:v>
      </x:c>
      <x:c r="J44" s="5" t="n">
        <x:v>2.3855115945447647</x:v>
      </x:c>
      <x:c r="K44" s="5" t="n">
        <x:v>4.633472983117586</x:v>
      </x:c>
      <x:c r="L44" s="5" t="n">
        <x:v>4.041826965442869</x:v>
      </x:c>
    </x:row>
    <x:row r="45" ht="32" customHeight="1">
      <x:c r="A45" s="10" t="str">
        <x:v>Chinese</x:v>
      </x:c>
      <x:c r="B45" s="10" t="str">
        <x:v>Male</x:v>
      </x:c>
      <x:c r="C45" s="10" t="str">
        <x:v>40-90</x:v>
      </x:c>
      <x:c r="D45" s="11" t="str">
        <x:v>BrainAGE_S (cohort age-trend adjusted BAG)</x:v>
      </x:c>
      <x:c r="E45" s="12" t="n">
        <x:v>194</x:v>
      </x:c>
      <x:c r="F45" s="5" t="n">
        <x:v>60.41752577319588</x:v>
      </x:c>
      <x:c r="G45" s="5" t="n">
        <x:v>8.267916771018738</x:v>
      </x:c>
      <x:c r="H45" s="5" t="n">
        <x:v>41</x:v>
      </x:c>
      <x:c r="I45" s="5" t="n">
        <x:v>80</x:v>
      </x:c>
      <x:c r="J45" s="5" t="n">
        <x:v>2.2009086108233555</x:v>
      </x:c>
      <x:c r="K45" s="5" t="n">
        <x:v>4.221074540995819</x:v>
      </x:c>
      <x:c r="L45" s="5" t="n">
        <x:v>3.739850584091399</x:v>
      </x:c>
    </x:row>
    <x:row r="46" ht="32" customHeight="1">
      <x:c r="A46" s="10" t="str">
        <x:v>Japanese</x:v>
      </x:c>
      <x:c r="B46" s="10" t="str">
        <x:v>Female</x:v>
      </x:c>
      <x:c r="C46" s="10" t="str">
        <x:v>5-40</x:v>
      </x:c>
      <x:c r="D46" s="11" t="str">
        <x:v>Raw CentileBrain BAG</x:v>
      </x:c>
      <x:c r="E46" s="12" t="n">
        <x:v>216</x:v>
      </x:c>
      <x:c r="F46" s="5" t="n">
        <x:v>26.99537037037037</x:v>
      </x:c>
      <x:c r="G46" s="5" t="n">
        <x:v>6.607604980862431</x:v>
      </x:c>
      <x:c r="H46" s="5" t="n">
        <x:v>18</x:v>
      </x:c>
      <x:c r="I46" s="5" t="n">
        <x:v>40</x:v>
      </x:c>
      <x:c r="J46" s="5" t="n">
        <x:v>-3.9539056203472462</x:v>
      </x:c>
      <x:c r="K46" s="5" t="n">
        <x:v>5.6730467179119035</x:v>
      </x:c>
      <x:c r="L46" s="5" t="n">
        <x:v>5.166655728010373</x:v>
      </x:c>
    </x:row>
    <x:row r="47" ht="32" customHeight="1">
      <x:c r="A47" s="10" t="str">
        <x:v>Japanese</x:v>
      </x:c>
      <x:c r="B47" s="10" t="str">
        <x:v>Female</x:v>
      </x:c>
      <x:c r="C47" s="10" t="str">
        <x:v>5-40</x:v>
      </x:c>
      <x:c r="D47" s="11" t="str">
        <x:v>CentileBrain panel-adjusted BAG</x:v>
      </x:c>
      <x:c r="E47" s="12" t="n">
        <x:v>216</x:v>
      </x:c>
      <x:c r="F47" s="5" t="n">
        <x:v>26.99537037037037</x:v>
      </x:c>
      <x:c r="G47" s="5" t="n">
        <x:v>6.607604980862431</x:v>
      </x:c>
      <x:c r="H47" s="5" t="n">
        <x:v>18</x:v>
      </x:c>
      <x:c r="I47" s="5" t="n">
        <x:v>40</x:v>
      </x:c>
      <x:c r="J47" s="5" t="n">
        <x:v>-1.1770276397723825</x:v>
      </x:c>
      <x:c r="K47" s="5" t="n">
        <x:v>3.0201601808075784</x:v>
      </x:c>
      <x:c r="L47" s="5" t="n">
        <x:v>2.5509903048576636</x:v>
      </x:c>
    </x:row>
    <x:row r="48" ht="32" customHeight="1">
      <x:c r="A48" s="10" t="str">
        <x:v>Japanese</x:v>
      </x:c>
      <x:c r="B48" s="10" t="str">
        <x:v>Female</x:v>
      </x:c>
      <x:c r="C48" s="10" t="str">
        <x:v>5-40</x:v>
      </x:c>
      <x:c r="D48" s="11" t="str">
        <x:v>Training-reference 10-year bucket-adjusted BAG</x:v>
      </x:c>
      <x:c r="E48" s="12" t="n">
        <x:v>216</x:v>
      </x:c>
      <x:c r="F48" s="5" t="n">
        <x:v>26.99537037037037</x:v>
      </x:c>
      <x:c r="G48" s="5" t="n">
        <x:v>6.607604980862431</x:v>
      </x:c>
      <x:c r="H48" s="5" t="n">
        <x:v>18</x:v>
      </x:c>
      <x:c r="I48" s="5" t="n">
        <x:v>40</x:v>
      </x:c>
      <x:c r="J48" s="5" t="n">
        <x:v>-2.253324408070714</x:v>
      </x:c>
      <x:c r="K48" s="5" t="n">
        <x:v>3.726148271632266</x:v>
      </x:c>
      <x:c r="L48" s="5" t="n">
        <x:v>3.454550089933977</x:v>
      </x:c>
    </x:row>
    <x:row r="49" ht="32" customHeight="1">
      <x:c r="A49" s="10" t="str">
        <x:v>Japanese</x:v>
      </x:c>
      <x:c r="B49" s="10" t="str">
        <x:v>Female</x:v>
      </x:c>
      <x:c r="C49" s="10" t="str">
        <x:v>5-40</x:v>
      </x:c>
      <x:c r="D49" s="11" t="str">
        <x:v>Training-reference 5-year bucket-adjusted BAG</x:v>
      </x:c>
      <x:c r="E49" s="12" t="n">
        <x:v>216</x:v>
      </x:c>
      <x:c r="F49" s="5" t="n">
        <x:v>26.99537037037037</x:v>
      </x:c>
      <x:c r="G49" s="5" t="n">
        <x:v>6.607604980862431</x:v>
      </x:c>
      <x:c r="H49" s="5" t="n">
        <x:v>18</x:v>
      </x:c>
      <x:c r="I49" s="5" t="n">
        <x:v>40</x:v>
      </x:c>
      <x:c r="J49" s="5" t="n">
        <x:v>-2.2469692421664385</x:v>
      </x:c>
      <x:c r="K49" s="5" t="n">
        <x:v>3.719084530899763</x:v>
      </x:c>
      <x:c r="L49" s="5" t="n">
        <x:v>3.4531717097983408</x:v>
      </x:c>
    </x:row>
    <x:row r="50" ht="32" customHeight="1">
      <x:c r="A50" s="10" t="str">
        <x:v>Japanese</x:v>
      </x:c>
      <x:c r="B50" s="10" t="str">
        <x:v>Female</x:v>
      </x:c>
      <x:c r="C50" s="10" t="str">
        <x:v>5-40</x:v>
      </x:c>
      <x:c r="D50" s="11" t="str">
        <x:v>BrainAGE_S (cohort age-trend adjusted BAG)</x:v>
      </x:c>
      <x:c r="E50" s="12" t="n">
        <x:v>216</x:v>
      </x:c>
      <x:c r="F50" s="5" t="n">
        <x:v>26.99537037037037</x:v>
      </x:c>
      <x:c r="G50" s="5" t="n">
        <x:v>6.607604980862431</x:v>
      </x:c>
      <x:c r="H50" s="5" t="n">
        <x:v>18</x:v>
      </x:c>
      <x:c r="I50" s="5" t="n">
        <x:v>40</x:v>
      </x:c>
      <x:c r="J50" s="5" t="n">
        <x:v>-1.1770276397723825</x:v>
      </x:c>
      <x:c r="K50" s="5" t="n">
        <x:v>2.6970979925617713</x:v>
      </x:c>
      <x:c r="L50" s="5" t="n">
        <x:v>2.317100597790466</x:v>
      </x:c>
    </x:row>
    <x:row r="51" ht="32" customHeight="1">
      <x:c r="A51" s="10" t="str">
        <x:v>Japanese</x:v>
      </x:c>
      <x:c r="B51" s="10" t="str">
        <x:v>Female</x:v>
      </x:c>
      <x:c r="C51" s="10" t="str">
        <x:v>40-90</x:v>
      </x:c>
      <x:c r="D51" s="11" t="str">
        <x:v>Raw CentileBrain BAG</x:v>
      </x:c>
      <x:c r="E51" s="12" t="n">
        <x:v>187</x:v>
      </x:c>
      <x:c r="F51" s="5" t="n">
        <x:v>53.25133689839572</x:v>
      </x:c>
      <x:c r="G51" s="5" t="n">
        <x:v>9.62389140823514</x:v>
      </x:c>
      <x:c r="H51" s="5" t="n">
        <x:v>41</x:v>
      </x:c>
      <x:c r="I51" s="5" t="n">
        <x:v>79</x:v>
      </x:c>
      <x:c r="J51" s="5" t="n">
        <x:v>8.550952299348932</x:v>
      </x:c>
      <x:c r="K51" s="5" t="n">
        <x:v>7.815278565093218</x:v>
      </x:c>
      <x:c r="L51" s="5" t="n">
        <x:v>9.939435859279072</x:v>
      </x:c>
    </x:row>
    <x:row r="52" ht="32" customHeight="1">
      <x:c r="A52" s="10" t="str">
        <x:v>Japanese</x:v>
      </x:c>
      <x:c r="B52" s="10" t="str">
        <x:v>Female</x:v>
      </x:c>
      <x:c r="C52" s="10" t="str">
        <x:v>40-90</x:v>
      </x:c>
      <x:c r="D52" s="11" t="str">
        <x:v>CentileBrain panel-adjusted BAG</x:v>
      </x:c>
      <x:c r="E52" s="12" t="n">
        <x:v>187</x:v>
      </x:c>
      <x:c r="F52" s="5" t="n">
        <x:v>53.25133689839572</x:v>
      </x:c>
      <x:c r="G52" s="5" t="n">
        <x:v>9.62389140823514</x:v>
      </x:c>
      <x:c r="H52" s="5" t="n">
        <x:v>41</x:v>
      </x:c>
      <x:c r="I52" s="5" t="n">
        <x:v>79</x:v>
      </x:c>
      <x:c r="J52" s="5" t="n">
        <x:v>3.377495193717641</x:v>
      </x:c>
      <x:c r="K52" s="5" t="n">
        <x:v>4.379184553745139</x:v>
      </x:c>
      <x:c r="L52" s="5" t="n">
        <x:v>4.5620768698629055</x:v>
      </x:c>
    </x:row>
    <x:row r="53" ht="32" customHeight="1">
      <x:c r="A53" s="10" t="str">
        <x:v>Japanese</x:v>
      </x:c>
      <x:c r="B53" s="10" t="str">
        <x:v>Female</x:v>
      </x:c>
      <x:c r="C53" s="10" t="str">
        <x:v>40-90</x:v>
      </x:c>
      <x:c r="D53" s="11" t="str">
        <x:v>Training-reference 10-year bucket-adjusted BAG</x:v>
      </x:c>
      <x:c r="E53" s="12" t="n">
        <x:v>187</x:v>
      </x:c>
      <x:c r="F53" s="5" t="n">
        <x:v>53.25133689839572</x:v>
      </x:c>
      <x:c r="G53" s="5" t="n">
        <x:v>9.62389140823514</x:v>
      </x:c>
      <x:c r="H53" s="5" t="n">
        <x:v>41</x:v>
      </x:c>
      <x:c r="I53" s="5" t="n">
        <x:v>79</x:v>
      </x:c>
      <x:c r="J53" s="5" t="n">
        <x:v>4.314855308870156</x:v>
      </x:c>
      <x:c r="K53" s="5" t="n">
        <x:v>4.757174569095594</x:v>
      </x:c>
      <x:c r="L53" s="5" t="n">
        <x:v>5.377487413297806</x:v>
      </x:c>
    </x:row>
    <x:row r="54" ht="32" customHeight="1">
      <x:c r="A54" s="10" t="str">
        <x:v>Japanese</x:v>
      </x:c>
      <x:c r="B54" s="10" t="str">
        <x:v>Female</x:v>
      </x:c>
      <x:c r="C54" s="10" t="str">
        <x:v>40-90</x:v>
      </x:c>
      <x:c r="D54" s="11" t="str">
        <x:v>Training-reference 5-year bucket-adjusted BAG</x:v>
      </x:c>
      <x:c r="E54" s="12" t="n">
        <x:v>187</x:v>
      </x:c>
      <x:c r="F54" s="5" t="n">
        <x:v>53.25133689839572</x:v>
      </x:c>
      <x:c r="G54" s="5" t="n">
        <x:v>9.62389140823514</x:v>
      </x:c>
      <x:c r="H54" s="5" t="n">
        <x:v>41</x:v>
      </x:c>
      <x:c r="I54" s="5" t="n">
        <x:v>79</x:v>
      </x:c>
      <x:c r="J54" s="5" t="n">
        <x:v>4.253548054870651</x:v>
      </x:c>
      <x:c r="K54" s="5" t="n">
        <x:v>4.762492247384584</x:v>
      </x:c>
      <x:c r="L54" s="5" t="n">
        <x:v>5.336612136386521</x:v>
      </x:c>
    </x:row>
    <x:row r="55" ht="32" customHeight="1">
      <x:c r="A55" s="10" t="str">
        <x:v>Japanese</x:v>
      </x:c>
      <x:c r="B55" s="10" t="str">
        <x:v>Female</x:v>
      </x:c>
      <x:c r="C55" s="10" t="str">
        <x:v>40-90</x:v>
      </x:c>
      <x:c r="D55" s="11" t="str">
        <x:v>BrainAGE_S (cohort age-trend adjusted BAG)</x:v>
      </x:c>
      <x:c r="E55" s="12" t="n">
        <x:v>187</x:v>
      </x:c>
      <x:c r="F55" s="5" t="n">
        <x:v>53.25133689839572</x:v>
      </x:c>
      <x:c r="G55" s="5" t="n">
        <x:v>9.62389140823514</x:v>
      </x:c>
      <x:c r="H55" s="5" t="n">
        <x:v>41</x:v>
      </x:c>
      <x:c r="I55" s="5" t="n">
        <x:v>79</x:v>
      </x:c>
      <x:c r="J55" s="5" t="n">
        <x:v>3.3774951937176403</x:v>
      </x:c>
      <x:c r="K55" s="5" t="n">
        <x:v>4.214806089314829</x:v>
      </x:c>
      <x:c r="L55" s="5" t="n">
        <x:v>4.4214352145840525</x:v>
      </x:c>
    </x:row>
    <x:row r="56" ht="32" customHeight="1">
      <x:c r="A56" s="10" t="str">
        <x:v>Japanese</x:v>
      </x:c>
      <x:c r="B56" s="10" t="str">
        <x:v>Male</x:v>
      </x:c>
      <x:c r="C56" s="10" t="str">
        <x:v>5-40</x:v>
      </x:c>
      <x:c r="D56" s="11" t="str">
        <x:v>Raw CentileBrain BAG</x:v>
      </x:c>
      <x:c r="E56" s="12" t="n">
        <x:v>389</x:v>
      </x:c>
      <x:c r="F56" s="5" t="n">
        <x:v>26.23393316195373</x:v>
      </x:c>
      <x:c r="G56" s="5" t="n">
        <x:v>6.04572612146195</x:v>
      </x:c>
      <x:c r="H56" s="5" t="n">
        <x:v>19</x:v>
      </x:c>
      <x:c r="I56" s="5" t="n">
        <x:v>40</x:v>
      </x:c>
      <x:c r="J56" s="5" t="n">
        <x:v>-3.131714368598809</x:v>
      </x:c>
      <x:c r="K56" s="5" t="n">
        <x:v>5.494961655323291</x:v>
      </x:c>
      <x:c r="L56" s="5" t="n">
        <x:v>4.849478939301972</x:v>
      </x:c>
    </x:row>
    <x:row r="57" ht="32" customHeight="1">
      <x:c r="A57" s="10" t="str">
        <x:v>Japanese</x:v>
      </x:c>
      <x:c r="B57" s="10" t="str">
        <x:v>Male</x:v>
      </x:c>
      <x:c r="C57" s="10" t="str">
        <x:v>5-40</x:v>
      </x:c>
      <x:c r="D57" s="11" t="str">
        <x:v>CentileBrain panel-adjusted BAG</x:v>
      </x:c>
      <x:c r="E57" s="12" t="n">
        <x:v>389</x:v>
      </x:c>
      <x:c r="F57" s="5" t="n">
        <x:v>26.23393316195373</x:v>
      </x:c>
      <x:c r="G57" s="5" t="n">
        <x:v>6.04572612146195</x:v>
      </x:c>
      <x:c r="H57" s="5" t="n">
        <x:v>19</x:v>
      </x:c>
      <x:c r="I57" s="5" t="n">
        <x:v>40</x:v>
      </x:c>
      <x:c r="J57" s="5" t="n">
        <x:v>-0.7710055069016482</x:v>
      </x:c>
      <x:c r="K57" s="5" t="n">
        <x:v>3.4202229201318946</x:v>
      </x:c>
      <x:c r="L57" s="5" t="n">
        <x:v>2.8147303570724316</x:v>
      </x:c>
    </x:row>
    <x:row r="58" ht="32" customHeight="1">
      <x:c r="A58" s="10" t="str">
        <x:v>Japanese</x:v>
      </x:c>
      <x:c r="B58" s="10" t="str">
        <x:v>Male</x:v>
      </x:c>
      <x:c r="C58" s="10" t="str">
        <x:v>5-40</x:v>
      </x:c>
      <x:c r="D58" s="11" t="str">
        <x:v>Training-reference 10-year bucket-adjusted BAG</x:v>
      </x:c>
      <x:c r="E58" s="12" t="n">
        <x:v>389</x:v>
      </x:c>
      <x:c r="F58" s="5" t="n">
        <x:v>26.23393316195373</x:v>
      </x:c>
      <x:c r="G58" s="5" t="n">
        <x:v>6.04572612146195</x:v>
      </x:c>
      <x:c r="H58" s="5" t="n">
        <x:v>19</x:v>
      </x:c>
      <x:c r="I58" s="5" t="n">
        <x:v>40</x:v>
      </x:c>
      <x:c r="J58" s="5" t="n">
        <x:v>-1.8520242597289251</x:v>
      </x:c>
      <x:c r="K58" s="5" t="n">
        <x:v>3.99755599100814</x:v>
      </x:c>
      <x:c r="L58" s="5" t="n">
        <x:v>3.556054481042937</x:v>
      </x:c>
    </x:row>
    <x:row r="59" ht="32" customHeight="1">
      <x:c r="A59" s="10" t="str">
        <x:v>Japanese</x:v>
      </x:c>
      <x:c r="B59" s="10" t="str">
        <x:v>Male</x:v>
      </x:c>
      <x:c r="C59" s="10" t="str">
        <x:v>5-40</x:v>
      </x:c>
      <x:c r="D59" s="11" t="str">
        <x:v>Training-reference 5-year bucket-adjusted BAG</x:v>
      </x:c>
      <x:c r="E59" s="12" t="n">
        <x:v>389</x:v>
      </x:c>
      <x:c r="F59" s="5" t="n">
        <x:v>26.23393316195373</x:v>
      </x:c>
      <x:c r="G59" s="5" t="n">
        <x:v>6.04572612146195</x:v>
      </x:c>
      <x:c r="H59" s="5" t="n">
        <x:v>19</x:v>
      </x:c>
      <x:c r="I59" s="5" t="n">
        <x:v>40</x:v>
      </x:c>
      <x:c r="J59" s="5" t="n">
        <x:v>-1.8369484055921583</x:v>
      </x:c>
      <x:c r="K59" s="5" t="n">
        <x:v>3.9838792560493523</x:v>
      </x:c>
      <x:c r="L59" s="5" t="n">
        <x:v>3.544356355374598</x:v>
      </x:c>
    </x:row>
    <x:row r="60" ht="32" customHeight="1">
      <x:c r="A60" s="10" t="str">
        <x:v>Japanese</x:v>
      </x:c>
      <x:c r="B60" s="10" t="str">
        <x:v>Male</x:v>
      </x:c>
      <x:c r="C60" s="10" t="str">
        <x:v>5-40</x:v>
      </x:c>
      <x:c r="D60" s="11" t="str">
        <x:v>BrainAGE_S (cohort age-trend adjusted BAG)</x:v>
      </x:c>
      <x:c r="E60" s="12" t="n">
        <x:v>389</x:v>
      </x:c>
      <x:c r="F60" s="5" t="n">
        <x:v>26.23393316195373</x:v>
      </x:c>
      <x:c r="G60" s="5" t="n">
        <x:v>6.04572612146195</x:v>
      </x:c>
      <x:c r="H60" s="5" t="n">
        <x:v>19</x:v>
      </x:c>
      <x:c r="I60" s="5" t="n">
        <x:v>40</x:v>
      </x:c>
      <x:c r="J60" s="5" t="n">
        <x:v>-0.7710055069016485</x:v>
      </x:c>
      <x:c r="K60" s="5" t="n">
        <x:v>3.24876988434939</x:v>
      </x:c>
      <x:c r="L60" s="5" t="n">
        <x:v>2.644986065627257</x:v>
      </x:c>
    </x:row>
    <x:row r="61" ht="32" customHeight="1">
      <x:c r="A61" s="10" t="str">
        <x:v>Japanese</x:v>
      </x:c>
      <x:c r="B61" s="10" t="str">
        <x:v>Male</x:v>
      </x:c>
      <x:c r="C61" s="10" t="str">
        <x:v>40-90</x:v>
      </x:c>
      <x:c r="D61" s="11" t="str">
        <x:v>Raw CentileBrain BAG</x:v>
      </x:c>
      <x:c r="E61" s="12" t="n">
        <x:v>128</x:v>
      </x:c>
      <x:c r="F61" s="5" t="n">
        <x:v>54.3984375</x:v>
      </x:c>
      <x:c r="G61" s="5" t="n">
        <x:v>9.978196579953162</x:v>
      </x:c>
      <x:c r="H61" s="5" t="n">
        <x:v>41</x:v>
      </x:c>
      <x:c r="I61" s="5" t="n">
        <x:v>80</x:v>
      </x:c>
      <x:c r="J61" s="5" t="n">
        <x:v>7.169466612132491</x:v>
      </x:c>
      <x:c r="K61" s="5" t="n">
        <x:v>7.722979427688234</x:v>
      </x:c>
      <x:c r="L61" s="5" t="n">
        <x:v>8.823695079753929</x:v>
      </x:c>
    </x:row>
    <x:row r="62" ht="32" customHeight="1">
      <x:c r="A62" s="10" t="str">
        <x:v>Japanese</x:v>
      </x:c>
      <x:c r="B62" s="10" t="str">
        <x:v>Male</x:v>
      </x:c>
      <x:c r="C62" s="10" t="str">
        <x:v>40-90</x:v>
      </x:c>
      <x:c r="D62" s="11" t="str">
        <x:v>CentileBrain panel-adjusted BAG</x:v>
      </x:c>
      <x:c r="E62" s="12" t="n">
        <x:v>128</x:v>
      </x:c>
      <x:c r="F62" s="5" t="n">
        <x:v>54.3984375</x:v>
      </x:c>
      <x:c r="G62" s="5" t="n">
        <x:v>9.978196579953162</x:v>
      </x:c>
      <x:c r="H62" s="5" t="n">
        <x:v>41</x:v>
      </x:c>
      <x:c r="I62" s="5" t="n">
        <x:v>80</x:v>
      </x:c>
      <x:c r="J62" s="5" t="n">
        <x:v>3.2392280393425645</x:v>
      </x:c>
      <x:c r="K62" s="5" t="n">
        <x:v>4.462479311130584</x:v>
      </x:c>
      <x:c r="L62" s="5" t="n">
        <x:v>4.367684813770984</x:v>
      </x:c>
    </x:row>
    <x:row r="63" ht="32" customHeight="1">
      <x:c r="A63" s="10" t="str">
        <x:v>Japanese</x:v>
      </x:c>
      <x:c r="B63" s="10" t="str">
        <x:v>Male</x:v>
      </x:c>
      <x:c r="C63" s="10" t="str">
        <x:v>40-90</x:v>
      </x:c>
      <x:c r="D63" s="11" t="str">
        <x:v>Training-reference 10-year bucket-adjusted BAG</x:v>
      </x:c>
      <x:c r="E63" s="12" t="n">
        <x:v>128</x:v>
      </x:c>
      <x:c r="F63" s="5" t="n">
        <x:v>54.3984375</x:v>
      </x:c>
      <x:c r="G63" s="5" t="n">
        <x:v>9.978196579953162</x:v>
      </x:c>
      <x:c r="H63" s="5" t="n">
        <x:v>41</x:v>
      </x:c>
      <x:c r="I63" s="5" t="n">
        <x:v>80</x:v>
      </x:c>
      <x:c r="J63" s="5" t="n">
        <x:v>4.086836282553097</x:v>
      </x:c>
      <x:c r="K63" s="5" t="n">
        <x:v>4.950673900312026</x:v>
      </x:c>
      <x:c r="L63" s="5" t="n">
        <x:v>5.117527541900619</x:v>
      </x:c>
    </x:row>
    <x:row r="64" ht="32" customHeight="1">
      <x:c r="A64" s="10" t="str">
        <x:v>Japanese</x:v>
      </x:c>
      <x:c r="B64" s="10" t="str">
        <x:v>Male</x:v>
      </x:c>
      <x:c r="C64" s="10" t="str">
        <x:v>40-90</x:v>
      </x:c>
      <x:c r="D64" s="11" t="str">
        <x:v>Training-reference 5-year bucket-adjusted BAG</x:v>
      </x:c>
      <x:c r="E64" s="12" t="n">
        <x:v>128</x:v>
      </x:c>
      <x:c r="F64" s="5" t="n">
        <x:v>54.3984375</x:v>
      </x:c>
      <x:c r="G64" s="5" t="n">
        <x:v>9.978196579953162</x:v>
      </x:c>
      <x:c r="H64" s="5" t="n">
        <x:v>41</x:v>
      </x:c>
      <x:c r="I64" s="5" t="n">
        <x:v>80</x:v>
      </x:c>
      <x:c r="J64" s="5" t="n">
        <x:v>4.2037831091742675</x:v>
      </x:c>
      <x:c r="K64" s="5" t="n">
        <x:v>4.9734070885978126</x:v>
      </x:c>
      <x:c r="L64" s="5" t="n">
        <x:v>5.2413246363880654</x:v>
      </x:c>
    </x:row>
    <x:row r="65" ht="32" customHeight="1">
      <x:c r="A65" s="10" t="str">
        <x:v>Japanese</x:v>
      </x:c>
      <x:c r="B65" s="10" t="str">
        <x:v>Male</x:v>
      </x:c>
      <x:c r="C65" s="10" t="str">
        <x:v>40-90</x:v>
      </x:c>
      <x:c r="D65" s="11" t="str">
        <x:v>BrainAGE_S (cohort age-trend adjusted BAG)</x:v>
      </x:c>
      <x:c r="E65" s="12" t="n">
        <x:v>128</x:v>
      </x:c>
      <x:c r="F65" s="5" t="n">
        <x:v>54.3984375</x:v>
      </x:c>
      <x:c r="G65" s="5" t="n">
        <x:v>9.978196579953162</x:v>
      </x:c>
      <x:c r="H65" s="5" t="n">
        <x:v>41</x:v>
      </x:c>
      <x:c r="I65" s="5" t="n">
        <x:v>80</x:v>
      </x:c>
      <x:c r="J65" s="5" t="n">
        <x:v>3.2392280393425645</x:v>
      </x:c>
      <x:c r="K65" s="5" t="n">
        <x:v>4.1728770493044305</x:v>
      </x:c>
      <x:c r="L65" s="5" t="n">
        <x:v>4.289114695110735</x:v>
      </x:c>
    </x:row>
    <x:row r="66" ht="32" customHeight="1">
      <x:c r="A66" s="10" t="str">
        <x:v>Mexican</x:v>
      </x:c>
      <x:c r="B66" s="10" t="str">
        <x:v>Female</x:v>
      </x:c>
      <x:c r="C66" s="10" t="str">
        <x:v>5-40</x:v>
      </x:c>
      <x:c r="D66" s="11" t="str">
        <x:v>Raw CentileBrain BAG</x:v>
      </x:c>
      <x:c r="E66" s="12" t="n">
        <x:v>106</x:v>
      </x:c>
      <x:c r="F66" s="5" t="n">
        <x:v>24.943396226415093</x:v>
      </x:c>
      <x:c r="G66" s="5" t="n">
        <x:v>5.535737037312316</x:v>
      </x:c>
      <x:c r="H66" s="5" t="n">
        <x:v>17</x:v>
      </x:c>
      <x:c r="I66" s="5" t="n">
        <x:v>40</x:v>
      </x:c>
      <x:c r="J66" s="5" t="n">
        <x:v>-2.5992533806123057</x:v>
      </x:c>
      <x:c r="K66" s="5" t="n">
        <x:v>4.753782310049479</x:v>
      </x:c>
      <x:c r="L66" s="5" t="n">
        <x:v>4.232312020078611</x:v>
      </x:c>
    </x:row>
    <x:row r="67" ht="32" customHeight="1">
      <x:c r="A67" s="10" t="str">
        <x:v>Mexican</x:v>
      </x:c>
      <x:c r="B67" s="10" t="str">
        <x:v>Female</x:v>
      </x:c>
      <x:c r="C67" s="10" t="str">
        <x:v>5-40</x:v>
      </x:c>
      <x:c r="D67" s="11" t="str">
        <x:v>CentileBrain panel-adjusted BAG</x:v>
      </x:c>
      <x:c r="E67" s="12" t="n">
        <x:v>106</x:v>
      </x:c>
      <x:c r="F67" s="5" t="n">
        <x:v>24.943396226415093</x:v>
      </x:c>
      <x:c r="G67" s="5" t="n">
        <x:v>5.535737037312316</x:v>
      </x:c>
      <x:c r="H67" s="5" t="n">
        <x:v>17</x:v>
      </x:c>
      <x:c r="I67" s="5" t="n">
        <x:v>40</x:v>
      </x:c>
      <x:c r="J67" s="5" t="n">
        <x:v>-0.9768102392205785</x:v>
      </x:c>
      <x:c r="K67" s="5" t="n">
        <x:v>3.490224471608961</x:v>
      </x:c>
      <x:c r="L67" s="5" t="n">
        <x:v>2.8762208728154253</x:v>
      </x:c>
    </x:row>
    <x:row r="68" ht="32" customHeight="1">
      <x:c r="A68" s="10" t="str">
        <x:v>Mexican</x:v>
      </x:c>
      <x:c r="B68" s="10" t="str">
        <x:v>Female</x:v>
      </x:c>
      <x:c r="C68" s="10" t="str">
        <x:v>5-40</x:v>
      </x:c>
      <x:c r="D68" s="11" t="str">
        <x:v>Training-reference 10-year bucket-adjusted BAG</x:v>
      </x:c>
      <x:c r="E68" s="12" t="n">
        <x:v>106</x:v>
      </x:c>
      <x:c r="F68" s="5" t="n">
        <x:v>24.943396226415093</x:v>
      </x:c>
      <x:c r="G68" s="5" t="n">
        <x:v>5.535737037312316</x:v>
      </x:c>
      <x:c r="H68" s="5" t="n">
        <x:v>17</x:v>
      </x:c>
      <x:c r="I68" s="5" t="n">
        <x:v>40</x:v>
      </x:c>
      <x:c r="J68" s="5" t="n">
        <x:v>-1.6581105736884092</x:v>
      </x:c>
      <x:c r="K68" s="5" t="n">
        <x:v>3.82036100865089</x:v>
      </x:c>
      <x:c r="L68" s="5" t="n">
        <x:v>3.2803642680069403</x:v>
      </x:c>
    </x:row>
    <x:row r="69" ht="32" customHeight="1">
      <x:c r="A69" s="10" t="str">
        <x:v>Mexican</x:v>
      </x:c>
      <x:c r="B69" s="10" t="str">
        <x:v>Female</x:v>
      </x:c>
      <x:c r="C69" s="10" t="str">
        <x:v>5-40</x:v>
      </x:c>
      <x:c r="D69" s="11" t="str">
        <x:v>Training-reference 5-year bucket-adjusted BAG</x:v>
      </x:c>
      <x:c r="E69" s="12" t="n">
        <x:v>106</x:v>
      </x:c>
      <x:c r="F69" s="5" t="n">
        <x:v>24.943396226415093</x:v>
      </x:c>
      <x:c r="G69" s="5" t="n">
        <x:v>5.535737037312316</x:v>
      </x:c>
      <x:c r="H69" s="5" t="n">
        <x:v>17</x:v>
      </x:c>
      <x:c r="I69" s="5" t="n">
        <x:v>40</x:v>
      </x:c>
      <x:c r="J69" s="5" t="n">
        <x:v>-1.658463568195351</x:v>
      </x:c>
      <x:c r="K69" s="5" t="n">
        <x:v>3.831148356666922</x:v>
      </x:c>
      <x:c r="L69" s="5" t="n">
        <x:v>3.275002372588003</x:v>
      </x:c>
    </x:row>
    <x:row r="70" ht="32" customHeight="1">
      <x:c r="A70" s="10" t="str">
        <x:v>Mexican</x:v>
      </x:c>
      <x:c r="B70" s="10" t="str">
        <x:v>Female</x:v>
      </x:c>
      <x:c r="C70" s="10" t="str">
        <x:v>5-40</x:v>
      </x:c>
      <x:c r="D70" s="11" t="str">
        <x:v>BrainAGE_S (cohort age-trend adjusted BAG)</x:v>
      </x:c>
      <x:c r="E70" s="12" t="n">
        <x:v>106</x:v>
      </x:c>
      <x:c r="F70" s="5" t="n">
        <x:v>24.943396226415093</x:v>
      </x:c>
      <x:c r="G70" s="5" t="n">
        <x:v>5.535737037312316</x:v>
      </x:c>
      <x:c r="H70" s="5" t="n">
        <x:v>17</x:v>
      </x:c>
      <x:c r="I70" s="5" t="n">
        <x:v>40</x:v>
      </x:c>
      <x:c r="J70" s="5" t="n">
        <x:v>-0.9768102392205783</x:v>
      </x:c>
      <x:c r="K70" s="5" t="n">
        <x:v>3.451953467888542</x:v>
      </x:c>
      <x:c r="L70" s="5" t="n">
        <x:v>2.88274933463525</x:v>
      </x:c>
    </x:row>
    <x:row r="71" ht="32" customHeight="1">
      <x:c r="A71" s="10" t="str">
        <x:v>Mexican</x:v>
      </x:c>
      <x:c r="B71" s="10" t="str">
        <x:v>Female</x:v>
      </x:c>
      <x:c r="C71" s="10" t="str">
        <x:v>40-90</x:v>
      </x:c>
      <x:c r="D71" s="11" t="str">
        <x:v>Raw CentileBrain BAG</x:v>
      </x:c>
      <x:c r="E71" s="12" t="n">
        <x:v>31</x:v>
      </x:c>
      <x:c r="F71" s="5" t="n">
        <x:v>50</x:v>
      </x:c>
      <x:c r="G71" s="5" t="n">
        <x:v>7.848566748139434</x:v>
      </x:c>
      <x:c r="H71" s="5" t="n">
        <x:v>41</x:v>
      </x:c>
      <x:c r="I71" s="5" t="n">
        <x:v>70</x:v>
      </x:c>
      <x:c r="J71" s="5" t="n">
        <x:v>13.270976352326246</x:v>
      </x:c>
      <x:c r="K71" s="5" t="n">
        <x:v>6.3141541764679445</x:v>
      </x:c>
      <x:c r="L71" s="5" t="n">
        <x:v>13.270976352326246</x:v>
      </x:c>
    </x:row>
    <x:row r="72" ht="32" customHeight="1">
      <x:c r="A72" s="10" t="str">
        <x:v>Mexican</x:v>
      </x:c>
      <x:c r="B72" s="10" t="str">
        <x:v>Female</x:v>
      </x:c>
      <x:c r="C72" s="10" t="str">
        <x:v>40-90</x:v>
      </x:c>
      <x:c r="D72" s="11" t="str">
        <x:v>CentileBrain panel-adjusted BAG</x:v>
      </x:c>
      <x:c r="E72" s="12" t="n">
        <x:v>31</x:v>
      </x:c>
      <x:c r="F72" s="5" t="n">
        <x:v>50</x:v>
      </x:c>
      <x:c r="G72" s="5" t="n">
        <x:v>7.848566748139434</x:v>
      </x:c>
      <x:c r="H72" s="5" t="n">
        <x:v>41</x:v>
      </x:c>
      <x:c r="I72" s="5" t="n">
        <x:v>70</x:v>
      </x:c>
      <x:c r="J72" s="5" t="n">
        <x:v>6.252526153938821</x:v>
      </x:c>
      <x:c r="K72" s="5" t="n">
        <x:v>4.00490858346933</x:v>
      </x:c>
      <x:c r="L72" s="5" t="n">
        <x:v>6.497673760343708</x:v>
      </x:c>
    </x:row>
    <x:row r="73" ht="32" customHeight="1">
      <x:c r="A73" s="10" t="str">
        <x:v>Mexican</x:v>
      </x:c>
      <x:c r="B73" s="10" t="str">
        <x:v>Female</x:v>
      </x:c>
      <x:c r="C73" s="10" t="str">
        <x:v>40-90</x:v>
      </x:c>
      <x:c r="D73" s="11" t="str">
        <x:v>Training-reference 10-year bucket-adjusted BAG</x:v>
      </x:c>
      <x:c r="E73" s="12" t="n">
        <x:v>31</x:v>
      </x:c>
      <x:c r="F73" s="5" t="n">
        <x:v>50</x:v>
      </x:c>
      <x:c r="G73" s="5" t="n">
        <x:v>7.848566748139434</x:v>
      </x:c>
      <x:c r="H73" s="5" t="n">
        <x:v>41</x:v>
      </x:c>
      <x:c r="I73" s="5" t="n">
        <x:v>70</x:v>
      </x:c>
      <x:c r="J73" s="5" t="n">
        <x:v>7.608464107232287</x:v>
      </x:c>
      <x:c r="K73" s="5" t="n">
        <x:v>4.231246451000075</x:v>
      </x:c>
      <x:c r="L73" s="5" t="n">
        <x:v>7.68144497774263</x:v>
      </x:c>
    </x:row>
    <x:row r="74" ht="32" customHeight="1">
      <x:c r="A74" s="10" t="str">
        <x:v>Mexican</x:v>
      </x:c>
      <x:c r="B74" s="10" t="str">
        <x:v>Female</x:v>
      </x:c>
      <x:c r="C74" s="10" t="str">
        <x:v>40-90</x:v>
      </x:c>
      <x:c r="D74" s="11" t="str">
        <x:v>Training-reference 5-year bucket-adjusted BAG</x:v>
      </x:c>
      <x:c r="E74" s="12" t="n">
        <x:v>31</x:v>
      </x:c>
      <x:c r="F74" s="5" t="n">
        <x:v>50</x:v>
      </x:c>
      <x:c r="G74" s="5" t="n">
        <x:v>7.848566748139434</x:v>
      </x:c>
      <x:c r="H74" s="5" t="n">
        <x:v>41</x:v>
      </x:c>
      <x:c r="I74" s="5" t="n">
        <x:v>70</x:v>
      </x:c>
      <x:c r="J74" s="5" t="n">
        <x:v>7.517490399138093</x:v>
      </x:c>
      <x:c r="K74" s="5" t="n">
        <x:v>4.294466549648999</x:v>
      </x:c>
      <x:c r="L74" s="5" t="n">
        <x:v>7.602708318151069</x:v>
      </x:c>
    </x:row>
    <x:row r="75" ht="32" customHeight="1">
      <x:c r="A75" s="10" t="str">
        <x:v>Mexican</x:v>
      </x:c>
      <x:c r="B75" s="10" t="str">
        <x:v>Female</x:v>
      </x:c>
      <x:c r="C75" s="10" t="str">
        <x:v>40-90</x:v>
      </x:c>
      <x:c r="D75" s="11" t="str">
        <x:v>BrainAGE_S (cohort age-trend adjusted BAG)</x:v>
      </x:c>
      <x:c r="E75" s="12" t="n">
        <x:v>31</x:v>
      </x:c>
      <x:c r="F75" s="5" t="n">
        <x:v>50</x:v>
      </x:c>
      <x:c r="G75" s="5" t="n">
        <x:v>7.848566748139434</x:v>
      </x:c>
      <x:c r="H75" s="5" t="n">
        <x:v>41</x:v>
      </x:c>
      <x:c r="I75" s="5" t="n">
        <x:v>70</x:v>
      </x:c>
      <x:c r="J75" s="5" t="n">
        <x:v>6.252526153938822</x:v>
      </x:c>
      <x:c r="K75" s="5" t="n">
        <x:v>4.003320614879242</x:v>
      </x:c>
      <x:c r="L75" s="5" t="n">
        <x:v>6.4939658678124355</x:v>
      </x:c>
    </x:row>
    <x:row r="76" ht="32" customHeight="1">
      <x:c r="A76" s="10" t="str">
        <x:v>Mexican</x:v>
      </x:c>
      <x:c r="B76" s="10" t="str">
        <x:v>Male</x:v>
      </x:c>
      <x:c r="C76" s="10" t="str">
        <x:v>5-40</x:v>
      </x:c>
      <x:c r="D76" s="11" t="str">
        <x:v>Raw CentileBrain BAG</x:v>
      </x:c>
      <x:c r="E76" s="12" t="n">
        <x:v>164</x:v>
      </x:c>
      <x:c r="F76" s="5" t="n">
        <x:v>26.98780487804878</x:v>
      </x:c>
      <x:c r="G76" s="5" t="n">
        <x:v>5.940386681427736</x:v>
      </x:c>
      <x:c r="H76" s="5" t="n">
        <x:v>17</x:v>
      </x:c>
      <x:c r="I76" s="5" t="n">
        <x:v>40</x:v>
      </x:c>
      <x:c r="J76" s="5" t="n">
        <x:v>-4.329382868152389</x:v>
      </x:c>
      <x:c r="K76" s="5" t="n">
        <x:v>5.35271605229614</x:v>
      </x:c>
      <x:c r="L76" s="5" t="n">
        <x:v>5.625286039022513</x:v>
      </x:c>
    </x:row>
    <x:row r="77" ht="32" customHeight="1">
      <x:c r="A77" s="10" t="str">
        <x:v>Mexican</x:v>
      </x:c>
      <x:c r="B77" s="10" t="str">
        <x:v>Male</x:v>
      </x:c>
      <x:c r="C77" s="10" t="str">
        <x:v>5-40</x:v>
      </x:c>
      <x:c r="D77" s="11" t="str">
        <x:v>CentileBrain panel-adjusted BAG</x:v>
      </x:c>
      <x:c r="E77" s="12" t="n">
        <x:v>164</x:v>
      </x:c>
      <x:c r="F77" s="5" t="n">
        <x:v>26.98780487804878</x:v>
      </x:c>
      <x:c r="G77" s="5" t="n">
        <x:v>5.940386681427736</x:v>
      </x:c>
      <x:c r="H77" s="5" t="n">
        <x:v>17</x:v>
      </x:c>
      <x:c r="I77" s="5" t="n">
        <x:v>40</x:v>
      </x:c>
      <x:c r="J77" s="5" t="n">
        <x:v>-1.6351542319329266</x:v>
      </x:c>
      <x:c r="K77" s="5" t="n">
        <x:v>3.7667728728361896</x:v>
      </x:c>
      <x:c r="L77" s="5" t="n">
        <x:v>3.3427571194085366</x:v>
      </x:c>
    </x:row>
    <x:row r="78" ht="32" customHeight="1">
      <x:c r="A78" s="10" t="str">
        <x:v>Mexican</x:v>
      </x:c>
      <x:c r="B78" s="10" t="str">
        <x:v>Male</x:v>
      </x:c>
      <x:c r="C78" s="10" t="str">
        <x:v>5-40</x:v>
      </x:c>
      <x:c r="D78" s="11" t="str">
        <x:v>Training-reference 10-year bucket-adjusted BAG</x:v>
      </x:c>
      <x:c r="E78" s="12" t="n">
        <x:v>164</x:v>
      </x:c>
      <x:c r="F78" s="5" t="n">
        <x:v>26.98780487804878</x:v>
      </x:c>
      <x:c r="G78" s="5" t="n">
        <x:v>5.940386681427736</x:v>
      </x:c>
      <x:c r="H78" s="5" t="n">
        <x:v>17</x:v>
      </x:c>
      <x:c r="I78" s="5" t="n">
        <x:v>40</x:v>
      </x:c>
      <x:c r="J78" s="5" t="n">
        <x:v>-2.9209271376936643</x:v>
      </x:c>
      <x:c r="K78" s="5" t="n">
        <x:v>4.214870388946692</x:v>
      </x:c>
      <x:c r="L78" s="5" t="n">
        <x:v>4.248202826916232</x:v>
      </x:c>
    </x:row>
    <x:row r="79" ht="32" customHeight="1">
      <x:c r="A79" s="10" t="str">
        <x:v>Mexican</x:v>
      </x:c>
      <x:c r="B79" s="10" t="str">
        <x:v>Male</x:v>
      </x:c>
      <x:c r="C79" s="10" t="str">
        <x:v>5-40</x:v>
      </x:c>
      <x:c r="D79" s="11" t="str">
        <x:v>Training-reference 5-year bucket-adjusted BAG</x:v>
      </x:c>
      <x:c r="E79" s="12" t="n">
        <x:v>164</x:v>
      </x:c>
      <x:c r="F79" s="5" t="n">
        <x:v>26.98780487804878</x:v>
      </x:c>
      <x:c r="G79" s="5" t="n">
        <x:v>5.940386681427736</x:v>
      </x:c>
      <x:c r="H79" s="5" t="n">
        <x:v>17</x:v>
      </x:c>
      <x:c r="I79" s="5" t="n">
        <x:v>40</x:v>
      </x:c>
      <x:c r="J79" s="5" t="n">
        <x:v>-2.915636187310986</x:v>
      </x:c>
      <x:c r="K79" s="5" t="n">
        <x:v>4.200065000045718</x:v>
      </x:c>
      <x:c r="L79" s="5" t="n">
        <x:v>4.234475521431507</x:v>
      </x:c>
    </x:row>
    <x:row r="80" ht="32" customHeight="1">
      <x:c r="A80" s="10" t="str">
        <x:v>Mexican</x:v>
      </x:c>
      <x:c r="B80" s="10" t="str">
        <x:v>Male</x:v>
      </x:c>
      <x:c r="C80" s="10" t="str">
        <x:v>5-40</x:v>
      </x:c>
      <x:c r="D80" s="11" t="str">
        <x:v>BrainAGE_S (cohort age-trend adjusted BAG)</x:v>
      </x:c>
      <x:c r="E80" s="12" t="n">
        <x:v>164</x:v>
      </x:c>
      <x:c r="F80" s="5" t="n">
        <x:v>26.98780487804878</x:v>
      </x:c>
      <x:c r="G80" s="5" t="n">
        <x:v>5.940386681427736</x:v>
      </x:c>
      <x:c r="H80" s="5" t="n">
        <x:v>17</x:v>
      </x:c>
      <x:c r="I80" s="5" t="n">
        <x:v>40</x:v>
      </x:c>
      <x:c r="J80" s="5" t="n">
        <x:v>-1.6351542319329266</x:v>
      </x:c>
      <x:c r="K80" s="5" t="n">
        <x:v>3.697033750725147</x:v>
      </x:c>
      <x:c r="L80" s="5" t="n">
        <x:v>3.2981308563491187</x:v>
      </x:c>
    </x:row>
    <x:row r="81" ht="32" customHeight="1">
      <x:c r="A81" s="10" t="str">
        <x:v>Mexican</x:v>
      </x:c>
      <x:c r="B81" s="10" t="str">
        <x:v>Male</x:v>
      </x:c>
      <x:c r="C81" s="10" t="str">
        <x:v>40-90</x:v>
      </x:c>
      <x:c r="D81" s="11" t="str">
        <x:v>Raw CentileBrain BAG</x:v>
      </x:c>
      <x:c r="E81" s="12" t="n">
        <x:v>13</x:v>
      </x:c>
      <x:c r="F81" s="5" t="n">
        <x:v>44.23076923076923</x:v>
      </x:c>
      <x:c r="G81" s="5" t="n">
        <x:v>2.8033862307884654</x:v>
      </x:c>
      <x:c r="H81" s="5" t="n">
        <x:v>41</x:v>
      </x:c>
      <x:c r="I81" s="5" t="n">
        <x:v>50</x:v>
      </x:c>
      <x:c r="J81" s="5" t="n">
        <x:v>16.540703663812625</x:v>
      </x:c>
      <x:c r="K81" s="5" t="n">
        <x:v>5.716055148052564</x:v>
      </x:c>
      <x:c r="L81" s="5" t="n">
        <x:v>16.540703663812625</x:v>
      </x:c>
    </x:row>
    <x:row r="82" ht="32" customHeight="1">
      <x:c r="A82" s="10" t="str">
        <x:v>Mexican</x:v>
      </x:c>
      <x:c r="B82" s="10" t="str">
        <x:v>Male</x:v>
      </x:c>
      <x:c r="C82" s="10" t="str">
        <x:v>40-90</x:v>
      </x:c>
      <x:c r="D82" s="11" t="str">
        <x:v>CentileBrain panel-adjusted BAG</x:v>
      </x:c>
      <x:c r="E82" s="12" t="n">
        <x:v>13</x:v>
      </x:c>
      <x:c r="F82" s="5" t="n">
        <x:v>44.23076923076923</x:v>
      </x:c>
      <x:c r="G82" s="5" t="n">
        <x:v>2.8033862307884654</x:v>
      </x:c>
      <x:c r="H82" s="5" t="n">
        <x:v>41</x:v>
      </x:c>
      <x:c r="I82" s="5" t="n">
        <x:v>50</x:v>
      </x:c>
      <x:c r="J82" s="5" t="n">
        <x:v>-0.903863382798942</x:v>
      </x:c>
      <x:c r="K82" s="5" t="n">
        <x:v>4.198501462618883</x:v>
      </x:c>
      <x:c r="L82" s="5" t="n">
        <x:v>3.2325789821106317</x:v>
      </x:c>
    </x:row>
    <x:row r="83" ht="32" customHeight="1">
      <x:c r="A83" s="10" t="str">
        <x:v>Mexican</x:v>
      </x:c>
      <x:c r="B83" s="10" t="str">
        <x:v>Male</x:v>
      </x:c>
      <x:c r="C83" s="10" t="str">
        <x:v>40-90</x:v>
      </x:c>
      <x:c r="D83" s="11" t="str">
        <x:v>Training-reference 10-year bucket-adjusted BAG</x:v>
      </x:c>
      <x:c r="E83" s="12" t="n">
        <x:v>13</x:v>
      </x:c>
      <x:c r="F83" s="5" t="n">
        <x:v>44.23076923076923</x:v>
      </x:c>
      <x:c r="G83" s="5" t="n">
        <x:v>2.8033862307884654</x:v>
      </x:c>
      <x:c r="H83" s="5" t="n">
        <x:v>41</x:v>
      </x:c>
      <x:c r="I83" s="5" t="n">
        <x:v>50</x:v>
      </x:c>
      <x:c r="J83" s="5" t="n">
        <x:v>9.484583913832516</x:v>
      </x:c>
      <x:c r="K83" s="5" t="n">
        <x:v>5.054443325698988</x:v>
      </x:c>
      <x:c r="L83" s="5" t="n">
        <x:v>9.484583913832516</x:v>
      </x:c>
    </x:row>
    <x:row r="84" ht="32" customHeight="1">
      <x:c r="A84" s="10" t="str">
        <x:v>Mexican</x:v>
      </x:c>
      <x:c r="B84" s="10" t="str">
        <x:v>Male</x:v>
      </x:c>
      <x:c r="C84" s="10" t="str">
        <x:v>40-90</x:v>
      </x:c>
      <x:c r="D84" s="11" t="str">
        <x:v>Training-reference 5-year bucket-adjusted BAG</x:v>
      </x:c>
      <x:c r="E84" s="12" t="n">
        <x:v>13</x:v>
      </x:c>
      <x:c r="F84" s="5" t="n">
        <x:v>44.23076923076923</x:v>
      </x:c>
      <x:c r="G84" s="5" t="n">
        <x:v>2.8033862307884654</x:v>
      </x:c>
      <x:c r="H84" s="5" t="n">
        <x:v>41</x:v>
      </x:c>
      <x:c r="I84" s="5" t="n">
        <x:v>50</x:v>
      </x:c>
      <x:c r="J84" s="5" t="n">
        <x:v>9.652668738650437</x:v>
      </x:c>
      <x:c r="K84" s="5" t="n">
        <x:v>4.496098897582615</x:v>
      </x:c>
      <x:c r="L84" s="5" t="n">
        <x:v>9.652668738650437</x:v>
      </x:c>
    </x:row>
    <x:row r="85" ht="32" customHeight="1">
      <x:c r="A85" s="10" t="str">
        <x:v>Mexican</x:v>
      </x:c>
      <x:c r="B85" s="10" t="str">
        <x:v>Male</x:v>
      </x:c>
      <x:c r="C85" s="10" t="str">
        <x:v>40-90</x:v>
      </x:c>
      <x:c r="D85" s="11" t="str">
        <x:v>BrainAGE_S (cohort age-trend adjusted BAG)</x:v>
      </x:c>
      <x:c r="E85" s="12" t="n">
        <x:v>13</x:v>
      </x:c>
      <x:c r="F85" s="5" t="n">
        <x:v>44.23076923076923</x:v>
      </x:c>
      <x:c r="G85" s="5" t="n">
        <x:v>2.8033862307884654</x:v>
      </x:c>
      <x:c r="H85" s="5" t="n">
        <x:v>41</x:v>
      </x:c>
      <x:c r="I85" s="5" t="n">
        <x:v>50</x:v>
      </x:c>
      <x:c r="J85" s="5" t="n">
        <x:v>-0.9038633827989432</x:v>
      </x:c>
      <x:c r="K85" s="5" t="n">
        <x:v>4.0471962789700315</x:v>
      </x:c>
      <x:c r="L85" s="5" t="n">
        <x:v>3.178760479006947</x:v>
      </x:c>
    </x:row>
    <x:row r="86" ht="32" customHeight="1">
      <x:c r="A86" s="10" t="str">
        <x:v>South Asian</x:v>
      </x:c>
      <x:c r="B86" s="10" t="str">
        <x:v>Female</x:v>
      </x:c>
      <x:c r="C86" s="10" t="str">
        <x:v>5-40</x:v>
      </x:c>
      <x:c r="D86" s="11" t="str">
        <x:v>Raw CentileBrain BAG</x:v>
      </x:c>
      <x:c r="E86" s="12" t="n">
        <x:v>16</x:v>
      </x:c>
      <x:c r="F86" s="5" t="n">
        <x:v>29.4375</x:v>
      </x:c>
      <x:c r="G86" s="5" t="n">
        <x:v>6.869922367343996</x:v>
      </x:c>
      <x:c r="H86" s="5" t="n">
        <x:v>20</x:v>
      </x:c>
      <x:c r="I86" s="5" t="n">
        <x:v>39</x:v>
      </x:c>
      <x:c r="J86" s="5" t="n">
        <x:v>-4.398772580083819</x:v>
      </x:c>
      <x:c r="K86" s="5" t="n">
        <x:v>5.386623824859801</x:v>
      </x:c>
      <x:c r="L86" s="5" t="n">
        <x:v>5.751489700114144</x:v>
      </x:c>
    </x:row>
    <x:row r="87" ht="32" customHeight="1">
      <x:c r="A87" s="10" t="str">
        <x:v>South Asian</x:v>
      </x:c>
      <x:c r="B87" s="10" t="str">
        <x:v>Female</x:v>
      </x:c>
      <x:c r="C87" s="10" t="str">
        <x:v>5-40</x:v>
      </x:c>
      <x:c r="D87" s="11" t="str">
        <x:v>CentileBrain panel-adjusted BAG</x:v>
      </x:c>
      <x:c r="E87" s="12" t="n">
        <x:v>16</x:v>
      </x:c>
      <x:c r="F87" s="5" t="n">
        <x:v>29.4375</x:v>
      </x:c>
      <x:c r="G87" s="5" t="n">
        <x:v>6.869922367343996</x:v>
      </x:c>
      <x:c r="H87" s="5" t="n">
        <x:v>20</x:v>
      </x:c>
      <x:c r="I87" s="5" t="n">
        <x:v>39</x:v>
      </x:c>
      <x:c r="J87" s="5" t="n">
        <x:v>-0.31817520919992465</x:v>
      </x:c>
      <x:c r="K87" s="5" t="n">
        <x:v>2.961073454378585</x:v>
      </x:c>
      <x:c r="L87" s="5" t="n">
        <x:v>2.1775303822644645</x:v>
      </x:c>
    </x:row>
    <x:row r="88" ht="32" customHeight="1">
      <x:c r="A88" s="10" t="str">
        <x:v>South Asian</x:v>
      </x:c>
      <x:c r="B88" s="10" t="str">
        <x:v>Female</x:v>
      </x:c>
      <x:c r="C88" s="10" t="str">
        <x:v>5-40</x:v>
      </x:c>
      <x:c r="D88" s="11" t="str">
        <x:v>Training-reference 10-year bucket-adjusted BAG</x:v>
      </x:c>
      <x:c r="E88" s="12" t="n">
        <x:v>16</x:v>
      </x:c>
      <x:c r="F88" s="5" t="n">
        <x:v>29.4375</x:v>
      </x:c>
      <x:c r="G88" s="5" t="n">
        <x:v>6.869922367343996</x:v>
      </x:c>
      <x:c r="H88" s="5" t="n">
        <x:v>20</x:v>
      </x:c>
      <x:c r="I88" s="5" t="n">
        <x:v>39</x:v>
      </x:c>
      <x:c r="J88" s="5" t="n">
        <x:v>-1.703307018892639</x:v>
      </x:c>
      <x:c r="K88" s="5" t="n">
        <x:v>3.651640504505281</x:v>
      </x:c>
      <x:c r="L88" s="5" t="n">
        <x:v>3.3366649575681597</x:v>
      </x:c>
    </x:row>
    <x:row r="89" ht="32" customHeight="1">
      <x:c r="A89" s="10" t="str">
        <x:v>South Asian</x:v>
      </x:c>
      <x:c r="B89" s="10" t="str">
        <x:v>Female</x:v>
      </x:c>
      <x:c r="C89" s="10" t="str">
        <x:v>5-40</x:v>
      </x:c>
      <x:c r="D89" s="11" t="str">
        <x:v>Training-reference 5-year bucket-adjusted BAG</x:v>
      </x:c>
      <x:c r="E89" s="12" t="n">
        <x:v>16</x:v>
      </x:c>
      <x:c r="F89" s="5" t="n">
        <x:v>29.4375</x:v>
      </x:c>
      <x:c r="G89" s="5" t="n">
        <x:v>6.869922367343996</x:v>
      </x:c>
      <x:c r="H89" s="5" t="n">
        <x:v>20</x:v>
      </x:c>
      <x:c r="I89" s="5" t="n">
        <x:v>39</x:v>
      </x:c>
      <x:c r="J89" s="5" t="n">
        <x:v>-1.749938086063284</x:v>
      </x:c>
      <x:c r="K89" s="5" t="n">
        <x:v>3.6747429880783375</x:v>
      </x:c>
      <x:c r="L89" s="5" t="n">
        <x:v>3.384421238605314</x:v>
      </x:c>
    </x:row>
    <x:row r="90" ht="32" customHeight="1">
      <x:c r="A90" s="10" t="str">
        <x:v>South Asian</x:v>
      </x:c>
      <x:c r="B90" s="10" t="str">
        <x:v>Female</x:v>
      </x:c>
      <x:c r="C90" s="10" t="str">
        <x:v>5-40</x:v>
      </x:c>
      <x:c r="D90" s="11" t="str">
        <x:v>BrainAGE_S (cohort age-trend adjusted BAG)</x:v>
      </x:c>
      <x:c r="E90" s="12" t="n">
        <x:v>16</x:v>
      </x:c>
      <x:c r="F90" s="5" t="n">
        <x:v>29.4375</x:v>
      </x:c>
      <x:c r="G90" s="5" t="n">
        <x:v>6.869922367343996</x:v>
      </x:c>
      <x:c r="H90" s="5" t="n">
        <x:v>20</x:v>
      </x:c>
      <x:c r="I90" s="5" t="n">
        <x:v>39</x:v>
      </x:c>
      <x:c r="J90" s="5" t="n">
        <x:v>-0.3181752091999243</x:v>
      </x:c>
      <x:c r="K90" s="5" t="n">
        <x:v>2.851728047452911</x:v>
      </x:c>
      <x:c r="L90" s="5" t="n">
        <x:v>1.9073063262353451</x:v>
      </x:c>
    </x:row>
    <x:row r="91" ht="32" customHeight="1">
      <x:c r="A91" s="10" t="str">
        <x:v>South Asian</x:v>
      </x:c>
      <x:c r="B91" s="10" t="str">
        <x:v>Female</x:v>
      </x:c>
      <x:c r="C91" s="10" t="str">
        <x:v>40-90</x:v>
      </x:c>
      <x:c r="D91" s="11" t="str">
        <x:v>Raw CentileBrain BAG</x:v>
      </x:c>
      <x:c r="E91" s="12" t="n">
        <x:v>144</x:v>
      </x:c>
      <x:c r="F91" s="5" t="n">
        <x:v>59.951388888888886</x:v>
      </x:c>
      <x:c r="G91" s="5" t="n">
        <x:v>8.044743635157069</x:v>
      </x:c>
      <x:c r="H91" s="5" t="n">
        <x:v>42</x:v>
      </x:c>
      <x:c r="I91" s="5" t="n">
        <x:v>77</x:v>
      </x:c>
      <x:c r="J91" s="5" t="n">
        <x:v>3.1556089425883362</x:v>
      </x:c>
      <x:c r="K91" s="5" t="n">
        <x:v>6.43904707517466</x:v>
      </x:c>
      <x:c r="L91" s="5" t="n">
        <x:v>5.5895912743039355</x:v>
      </x:c>
    </x:row>
    <x:row r="92" ht="32" customHeight="1">
      <x:c r="A92" s="10" t="str">
        <x:v>South Asian</x:v>
      </x:c>
      <x:c r="B92" s="10" t="str">
        <x:v>Female</x:v>
      </x:c>
      <x:c r="C92" s="10" t="str">
        <x:v>40-90</x:v>
      </x:c>
      <x:c r="D92" s="11" t="str">
        <x:v>CentileBrain panel-adjusted BAG</x:v>
      </x:c>
      <x:c r="E92" s="12" t="n">
        <x:v>144</x:v>
      </x:c>
      <x:c r="F92" s="5" t="n">
        <x:v>59.951388888888886</x:v>
      </x:c>
      <x:c r="G92" s="5" t="n">
        <x:v>8.044743635157069</x:v>
      </x:c>
      <x:c r="H92" s="5" t="n">
        <x:v>42</x:v>
      </x:c>
      <x:c r="I92" s="5" t="n">
        <x:v>77</x:v>
      </x:c>
      <x:c r="J92" s="5" t="n">
        <x:v>2.0006319047892145</x:v>
      </x:c>
      <x:c r="K92" s="5" t="n">
        <x:v>4.084501414423392</x:v>
      </x:c>
      <x:c r="L92" s="5" t="n">
        <x:v>3.618056092100486</x:v>
      </x:c>
    </x:row>
    <x:row r="93" ht="32" customHeight="1">
      <x:c r="A93" s="10" t="str">
        <x:v>South Asian</x:v>
      </x:c>
      <x:c r="B93" s="10" t="str">
        <x:v>Female</x:v>
      </x:c>
      <x:c r="C93" s="10" t="str">
        <x:v>40-90</x:v>
      </x:c>
      <x:c r="D93" s="11" t="str">
        <x:v>Training-reference 10-year bucket-adjusted BAG</x:v>
      </x:c>
      <x:c r="E93" s="12" t="n">
        <x:v>144</x:v>
      </x:c>
      <x:c r="F93" s="5" t="n">
        <x:v>59.951388888888886</x:v>
      </x:c>
      <x:c r="G93" s="5" t="n">
        <x:v>8.044743635157069</x:v>
      </x:c>
      <x:c r="H93" s="5" t="n">
        <x:v>42</x:v>
      </x:c>
      <x:c r="I93" s="5" t="n">
        <x:v>77</x:v>
      </x:c>
      <x:c r="J93" s="5" t="n">
        <x:v>2.1718196842234985</x:v>
      </x:c>
      <x:c r="K93" s="5" t="n">
        <x:v>4.304704962100749</x:v>
      </x:c>
      <x:c r="L93" s="5" t="n">
        <x:v>3.8326564186472325</x:v>
      </x:c>
    </x:row>
    <x:row r="94" ht="32" customHeight="1">
      <x:c r="A94" s="10" t="str">
        <x:v>South Asian</x:v>
      </x:c>
      <x:c r="B94" s="10" t="str">
        <x:v>Female</x:v>
      </x:c>
      <x:c r="C94" s="10" t="str">
        <x:v>40-90</x:v>
      </x:c>
      <x:c r="D94" s="11" t="str">
        <x:v>Training-reference 5-year bucket-adjusted BAG</x:v>
      </x:c>
      <x:c r="E94" s="12" t="n">
        <x:v>144</x:v>
      </x:c>
      <x:c r="F94" s="5" t="n">
        <x:v>59.951388888888886</x:v>
      </x:c>
      <x:c r="G94" s="5" t="n">
        <x:v>8.044743635157069</x:v>
      </x:c>
      <x:c r="H94" s="5" t="n">
        <x:v>42</x:v>
      </x:c>
      <x:c r="I94" s="5" t="n">
        <x:v>77</x:v>
      </x:c>
      <x:c r="J94" s="5" t="n">
        <x:v>2.1568024607571</x:v>
      </x:c>
      <x:c r="K94" s="5" t="n">
        <x:v>4.2801444598768645</x:v>
      </x:c>
      <x:c r="L94" s="5" t="n">
        <x:v>3.7965134247653256</x:v>
      </x:c>
    </x:row>
    <x:row r="95" ht="32" customHeight="1">
      <x:c r="A95" s="10" t="str">
        <x:v>South Asian</x:v>
      </x:c>
      <x:c r="B95" s="10" t="str">
        <x:v>Female</x:v>
      </x:c>
      <x:c r="C95" s="10" t="str">
        <x:v>40-90</x:v>
      </x:c>
      <x:c r="D95" s="11" t="str">
        <x:v>BrainAGE_S (cohort age-trend adjusted BAG)</x:v>
      </x:c>
      <x:c r="E95" s="12" t="n">
        <x:v>144</x:v>
      </x:c>
      <x:c r="F95" s="5" t="n">
        <x:v>59.951388888888886</x:v>
      </x:c>
      <x:c r="G95" s="5" t="n">
        <x:v>8.044743635157069</x:v>
      </x:c>
      <x:c r="H95" s="5" t="n">
        <x:v>42</x:v>
      </x:c>
      <x:c r="I95" s="5" t="n">
        <x:v>77</x:v>
      </x:c>
      <x:c r="J95" s="5" t="n">
        <x:v>2.000631904789215</x:v>
      </x:c>
      <x:c r="K95" s="5" t="n">
        <x:v>3.982054650930705</x:v>
      </x:c>
      <x:c r="L95" s="5" t="n">
        <x:v>3.570434296410867</x:v>
      </x:c>
    </x:row>
    <x:row r="96" ht="32" customHeight="1">
      <x:c r="A96" s="10" t="str">
        <x:v>South Asian</x:v>
      </x:c>
      <x:c r="B96" s="10" t="str">
        <x:v>Male</x:v>
      </x:c>
      <x:c r="C96" s="10" t="str">
        <x:v>5-40</x:v>
      </x:c>
      <x:c r="D96" s="11" t="str">
        <x:v>Raw CentileBrain BAG</x:v>
      </x:c>
      <x:c r="E96" s="12" t="n">
        <x:v>21</x:v>
      </x:c>
      <x:c r="F96" s="5" t="n">
        <x:v>28</x:v>
      </x:c>
      <x:c r="G96" s="5" t="n">
        <x:v>5.167204273105526</x:v>
      </x:c>
      <x:c r="H96" s="5" t="n">
        <x:v>19</x:v>
      </x:c>
      <x:c r="I96" s="5" t="n">
        <x:v>39</x:v>
      </x:c>
      <x:c r="J96" s="5" t="n">
        <x:v>-2.9680897302693086</x:v>
      </x:c>
      <x:c r="K96" s="5" t="n">
        <x:v>4.468101159021577</x:v>
      </x:c>
      <x:c r="L96" s="5" t="n">
        <x:v>4.340091636340863</x:v>
      </x:c>
    </x:row>
    <x:row r="97" ht="32" customHeight="1">
      <x:c r="A97" s="10" t="str">
        <x:v>South Asian</x:v>
      </x:c>
      <x:c r="B97" s="10" t="str">
        <x:v>Male</x:v>
      </x:c>
      <x:c r="C97" s="10" t="str">
        <x:v>5-40</x:v>
      </x:c>
      <x:c r="D97" s="11" t="str">
        <x:v>CentileBrain panel-adjusted BAG</x:v>
      </x:c>
      <x:c r="E97" s="12" t="n">
        <x:v>21</x:v>
      </x:c>
      <x:c r="F97" s="5" t="n">
        <x:v>28</x:v>
      </x:c>
      <x:c r="G97" s="5" t="n">
        <x:v>5.167204273105526</x:v>
      </x:c>
      <x:c r="H97" s="5" t="n">
        <x:v>19</x:v>
      </x:c>
      <x:c r="I97" s="5" t="n">
        <x:v>39</x:v>
      </x:c>
      <x:c r="J97" s="5" t="n">
        <x:v>0.06202825830603671</x:v>
      </x:c>
      <x:c r="K97" s="5" t="n">
        <x:v>3.7538459745821164</x:v>
      </x:c>
      <x:c r="L97" s="5" t="n">
        <x:v>2.707086686322044</x:v>
      </x:c>
    </x:row>
    <x:row r="98" ht="32" customHeight="1">
      <x:c r="A98" s="10" t="str">
        <x:v>South Asian</x:v>
      </x:c>
      <x:c r="B98" s="10" t="str">
        <x:v>Male</x:v>
      </x:c>
      <x:c r="C98" s="10" t="str">
        <x:v>5-40</x:v>
      </x:c>
      <x:c r="D98" s="11" t="str">
        <x:v>Training-reference 10-year bucket-adjusted BAG</x:v>
      </x:c>
      <x:c r="E98" s="12" t="n">
        <x:v>21</x:v>
      </x:c>
      <x:c r="F98" s="5" t="n">
        <x:v>28</x:v>
      </x:c>
      <x:c r="G98" s="5" t="n">
        <x:v>5.167204273105526</x:v>
      </x:c>
      <x:c r="H98" s="5" t="n">
        <x:v>19</x:v>
      </x:c>
      <x:c r="I98" s="5" t="n">
        <x:v>39</x:v>
      </x:c>
      <x:c r="J98" s="5" t="n">
        <x:v>-1.4925682878694764</x:v>
      </x:c>
      <x:c r="K98" s="5" t="n">
        <x:v>3.8474975218647143</x:v>
      </x:c>
      <x:c r="L98" s="5" t="n">
        <x:v>3.116586933904427</x:v>
      </x:c>
    </x:row>
    <x:row r="99" ht="32" customHeight="1">
      <x:c r="A99" s="10" t="str">
        <x:v>South Asian</x:v>
      </x:c>
      <x:c r="B99" s="10" t="str">
        <x:v>Male</x:v>
      </x:c>
      <x:c r="C99" s="10" t="str">
        <x:v>5-40</x:v>
      </x:c>
      <x:c r="D99" s="11" t="str">
        <x:v>Training-reference 5-year bucket-adjusted BAG</x:v>
      </x:c>
      <x:c r="E99" s="12" t="n">
        <x:v>21</x:v>
      </x:c>
      <x:c r="F99" s="5" t="n">
        <x:v>28</x:v>
      </x:c>
      <x:c r="G99" s="5" t="n">
        <x:v>5.167204273105526</x:v>
      </x:c>
      <x:c r="H99" s="5" t="n">
        <x:v>19</x:v>
      </x:c>
      <x:c r="I99" s="5" t="n">
        <x:v>39</x:v>
      </x:c>
      <x:c r="J99" s="5" t="n">
        <x:v>-1.4857727392920892</x:v>
      </x:c>
      <x:c r="K99" s="5" t="n">
        <x:v>3.8798825513122517</x:v>
      </x:c>
      <x:c r="L99" s="5" t="n">
        <x:v>3.1523954524509357</x:v>
      </x:c>
    </x:row>
    <x:row r="100" ht="32" customHeight="1">
      <x:c r="A100" s="10" t="str">
        <x:v>South Asian</x:v>
      </x:c>
      <x:c r="B100" s="10" t="str">
        <x:v>Male</x:v>
      </x:c>
      <x:c r="C100" s="10" t="str">
        <x:v>5-40</x:v>
      </x:c>
      <x:c r="D100" s="11" t="str">
        <x:v>BrainAGE_S (cohort age-trend adjusted BAG)</x:v>
      </x:c>
      <x:c r="E100" s="12" t="n">
        <x:v>21</x:v>
      </x:c>
      <x:c r="F100" s="5" t="n">
        <x:v>28</x:v>
      </x:c>
      <x:c r="G100" s="5" t="n">
        <x:v>5.167204273105526</x:v>
      </x:c>
      <x:c r="H100" s="5" t="n">
        <x:v>19</x:v>
      </x:c>
      <x:c r="I100" s="5" t="n">
        <x:v>39</x:v>
      </x:c>
      <x:c r="J100" s="5" t="n">
        <x:v>0.06202825830603672</x:v>
      </x:c>
      <x:c r="K100" s="5" t="n">
        <x:v>3.7378295320608226</x:v>
      </x:c>
      <x:c r="L100" s="5" t="n">
        <x:v>2.6618197869169875</x:v>
      </x:c>
    </x:row>
    <x:row r="101" ht="32" customHeight="1">
      <x:c r="A101" s="10" t="str">
        <x:v>South Asian</x:v>
      </x:c>
      <x:c r="B101" s="10" t="str">
        <x:v>Male</x:v>
      </x:c>
      <x:c r="C101" s="10" t="str">
        <x:v>40-90</x:v>
      </x:c>
      <x:c r="D101" s="11" t="str">
        <x:v>Raw CentileBrain BAG</x:v>
      </x:c>
      <x:c r="E101" s="12" t="n">
        <x:v>238</x:v>
      </x:c>
      <x:c r="F101" s="5" t="n">
        <x:v>60.294117647058826</x:v>
      </x:c>
      <x:c r="G101" s="5" t="n">
        <x:v>8.68759525090141</x:v>
      </x:c>
      <x:c r="H101" s="5" t="n">
        <x:v>44</x:v>
      </x:c>
      <x:c r="I101" s="5" t="n">
        <x:v>79</x:v>
      </x:c>
      <x:c r="J101" s="5" t="n">
        <x:v>3.4058682646160108</x:v>
      </x:c>
      <x:c r="K101" s="5" t="n">
        <x:v>6.058682452489235</x:v>
      </x:c>
      <x:c r="L101" s="5" t="n">
        <x:v>5.4934845497629405</x:v>
      </x:c>
    </x:row>
    <x:row r="102" ht="32" customHeight="1">
      <x:c r="A102" s="10" t="str">
        <x:v>South Asian</x:v>
      </x:c>
      <x:c r="B102" s="10" t="str">
        <x:v>Male</x:v>
      </x:c>
      <x:c r="C102" s="10" t="str">
        <x:v>40-90</x:v>
      </x:c>
      <x:c r="D102" s="11" t="str">
        <x:v>CentileBrain panel-adjusted BAG</x:v>
      </x:c>
      <x:c r="E102" s="12" t="n">
        <x:v>238</x:v>
      </x:c>
      <x:c r="F102" s="5" t="n">
        <x:v>60.294117647058826</x:v>
      </x:c>
      <x:c r="G102" s="5" t="n">
        <x:v>8.68759525090141</x:v>
      </x:c>
      <x:c r="H102" s="5" t="n">
        <x:v>44</x:v>
      </x:c>
      <x:c r="I102" s="5" t="n">
        <x:v>79</x:v>
      </x:c>
      <x:c r="J102" s="5" t="n">
        <x:v>2.4648364625328756</x:v>
      </x:c>
      <x:c r="K102" s="5" t="n">
        <x:v>4.226918674801383</x:v>
      </x:c>
      <x:c r="L102" s="5" t="n">
        <x:v>3.924168775186589</x:v>
      </x:c>
    </x:row>
    <x:row r="103" ht="32" customHeight="1">
      <x:c r="A103" s="10" t="str">
        <x:v>South Asian</x:v>
      </x:c>
      <x:c r="B103" s="10" t="str">
        <x:v>Male</x:v>
      </x:c>
      <x:c r="C103" s="10" t="str">
        <x:v>40-90</x:v>
      </x:c>
      <x:c r="D103" s="11" t="str">
        <x:v>Training-reference 10-year bucket-adjusted BAG</x:v>
      </x:c>
      <x:c r="E103" s="12" t="n">
        <x:v>238</x:v>
      </x:c>
      <x:c r="F103" s="5" t="n">
        <x:v>60.294117647058826</x:v>
      </x:c>
      <x:c r="G103" s="5" t="n">
        <x:v>8.68759525090141</x:v>
      </x:c>
      <x:c r="H103" s="5" t="n">
        <x:v>44</x:v>
      </x:c>
      <x:c r="I103" s="5" t="n">
        <x:v>79</x:v>
      </x:c>
      <x:c r="J103" s="5" t="n">
        <x:v>2.617358964601772</x:v>
      </x:c>
      <x:c r="K103" s="5" t="n">
        <x:v>4.3468574639883295</x:v>
      </x:c>
      <x:c r="L103" s="5" t="n">
        <x:v>4.054632902713032</x:v>
      </x:c>
    </x:row>
    <x:row r="104" ht="32" customHeight="1">
      <x:c r="A104" s="10" t="str">
        <x:v>South Asian</x:v>
      </x:c>
      <x:c r="B104" s="10" t="str">
        <x:v>Male</x:v>
      </x:c>
      <x:c r="C104" s="10" t="str">
        <x:v>40-90</x:v>
      </x:c>
      <x:c r="D104" s="11" t="str">
        <x:v>Training-reference 5-year bucket-adjusted BAG</x:v>
      </x:c>
      <x:c r="E104" s="12" t="n">
        <x:v>238</x:v>
      </x:c>
      <x:c r="F104" s="5" t="n">
        <x:v>60.294117647058826</x:v>
      </x:c>
      <x:c r="G104" s="5" t="n">
        <x:v>8.68759525090141</x:v>
      </x:c>
      <x:c r="H104" s="5" t="n">
        <x:v>44</x:v>
      </x:c>
      <x:c r="I104" s="5" t="n">
        <x:v>79</x:v>
      </x:c>
      <x:c r="J104" s="5" t="n">
        <x:v>2.620085511111465</x:v>
      </x:c>
      <x:c r="K104" s="5" t="n">
        <x:v>4.359820138703465</x:v>
      </x:c>
      <x:c r="L104" s="5" t="n">
        <x:v>4.073084293702812</x:v>
      </x:c>
    </x:row>
    <x:row r="105" ht="32" customHeight="1">
      <x:c r="A105" s="10" t="str">
        <x:v>South Asian</x:v>
      </x:c>
      <x:c r="B105" s="10" t="str">
        <x:v>Male</x:v>
      </x:c>
      <x:c r="C105" s="10" t="str">
        <x:v>40-90</x:v>
      </x:c>
      <x:c r="D105" s="11" t="str">
        <x:v>BrainAGE_S (cohort age-trend adjusted BAG)</x:v>
      </x:c>
      <x:c r="E105" s="12" t="n">
        <x:v>238</x:v>
      </x:c>
      <x:c r="F105" s="5" t="n">
        <x:v>60.294117647058826</x:v>
      </x:c>
      <x:c r="G105" s="5" t="n">
        <x:v>8.68759525090141</x:v>
      </x:c>
      <x:c r="H105" s="5" t="n">
        <x:v>44</x:v>
      </x:c>
      <x:c r="I105" s="5" t="n">
        <x:v>79</x:v>
      </x:c>
      <x:c r="J105" s="5" t="n">
        <x:v>2.464836462532875</x:v>
      </x:c>
      <x:c r="K105" s="5" t="n">
        <x:v>4.214229470447824</x:v>
      </x:c>
      <x:c r="L105" s="5" t="n">
        <x:v>3.934811756123751</x:v>
      </x:c>
    </x:row>
    <x:row r="106" ht="32" customHeight="1">
      <x:c r="A106" s="10" t="str">
        <x:v>Turkish</x:v>
      </x:c>
      <x:c r="B106" s="10" t="str">
        <x:v>Female</x:v>
      </x:c>
      <x:c r="C106" s="10" t="str">
        <x:v>5-40</x:v>
      </x:c>
      <x:c r="D106" s="11" t="str">
        <x:v>Raw CentileBrain BAG</x:v>
      </x:c>
      <x:c r="E106" s="12" t="n">
        <x:v>268</x:v>
      </x:c>
      <x:c r="F106" s="5" t="n">
        <x:v>19.59328358208955</x:v>
      </x:c>
      <x:c r="G106" s="5" t="n">
        <x:v>2.4484711353318853</x:v>
      </x:c>
      <x:c r="H106" s="5" t="n">
        <x:v>13</x:v>
      </x:c>
      <x:c r="I106" s="5" t="n">
        <x:v>24</x:v>
      </x:c>
      <x:c r="J106" s="5" t="n">
        <x:v>-0.48354370855071377</x:v>
      </x:c>
      <x:c r="K106" s="5" t="n">
        <x:v>3.219149280328181</x:v>
      </x:c>
      <x:c r="L106" s="5" t="n">
        <x:v>2.5876956737733137</x:v>
      </x:c>
    </x:row>
    <x:row r="107" ht="32" customHeight="1">
      <x:c r="A107" s="10" t="str">
        <x:v>Turkish</x:v>
      </x:c>
      <x:c r="B107" s="10" t="str">
        <x:v>Female</x:v>
      </x:c>
      <x:c r="C107" s="10" t="str">
        <x:v>5-40</x:v>
      </x:c>
      <x:c r="D107" s="11" t="str">
        <x:v>CentileBrain panel-adjusted BAG</x:v>
      </x:c>
      <x:c r="E107" s="12" t="n">
        <x:v>268</x:v>
      </x:c>
      <x:c r="F107" s="5" t="n">
        <x:v>19.59328358208955</x:v>
      </x:c>
      <x:c r="G107" s="5" t="n">
        <x:v>2.4484711353318853</x:v>
      </x:c>
      <x:c r="H107" s="5" t="n">
        <x:v>13</x:v>
      </x:c>
      <x:c r="I107" s="5" t="n">
        <x:v>24</x:v>
      </x:c>
      <x:c r="J107" s="5" t="n">
        <x:v>-0.46775167611402624</x:v>
      </x:c>
      <x:c r="K107" s="5" t="n">
        <x:v>3.0078567749869385</x:v>
      </x:c>
      <x:c r="L107" s="5" t="n">
        <x:v>2.414725820022386</x:v>
      </x:c>
    </x:row>
    <x:row r="108" ht="32" customHeight="1">
      <x:c r="A108" s="10" t="str">
        <x:v>Turkish</x:v>
      </x:c>
      <x:c r="B108" s="10" t="str">
        <x:v>Female</x:v>
      </x:c>
      <x:c r="C108" s="10" t="str">
        <x:v>5-40</x:v>
      </x:c>
      <x:c r="D108" s="11" t="str">
        <x:v>Training-reference 10-year bucket-adjusted BAG</x:v>
      </x:c>
      <x:c r="E108" s="12" t="n">
        <x:v>268</x:v>
      </x:c>
      <x:c r="F108" s="5" t="n">
        <x:v>19.59328358208955</x:v>
      </x:c>
      <x:c r="G108" s="5" t="n">
        <x:v>2.4484711353318853</x:v>
      </x:c>
      <x:c r="H108" s="5" t="n">
        <x:v>13</x:v>
      </x:c>
      <x:c r="I108" s="5" t="n">
        <x:v>24</x:v>
      </x:c>
      <x:c r="J108" s="5" t="n">
        <x:v>-0.7575934687671418</x:v>
      </x:c>
      <x:c r="K108" s="5" t="n">
        <x:v>3.1447084587825556</x:v>
      </x:c>
      <x:c r="L108" s="5" t="n">
        <x:v>2.5754264611744624</x:v>
      </x:c>
    </x:row>
    <x:row r="109" ht="32" customHeight="1">
      <x:c r="A109" s="10" t="str">
        <x:v>Turkish</x:v>
      </x:c>
      <x:c r="B109" s="10" t="str">
        <x:v>Female</x:v>
      </x:c>
      <x:c r="C109" s="10" t="str">
        <x:v>5-40</x:v>
      </x:c>
      <x:c r="D109" s="11" t="str">
        <x:v>Training-reference 5-year bucket-adjusted BAG</x:v>
      </x:c>
      <x:c r="E109" s="12" t="n">
        <x:v>268</x:v>
      </x:c>
      <x:c r="F109" s="5" t="n">
        <x:v>19.59328358208955</x:v>
      </x:c>
      <x:c r="G109" s="5" t="n">
        <x:v>2.4484711353318853</x:v>
      </x:c>
      <x:c r="H109" s="5" t="n">
        <x:v>13</x:v>
      </x:c>
      <x:c r="I109" s="5" t="n">
        <x:v>24</x:v>
      </x:c>
      <x:c r="J109" s="5" t="n">
        <x:v>-0.7531445241862451</x:v>
      </x:c>
      <x:c r="K109" s="5" t="n">
        <x:v>3.14242587960074</x:v>
      </x:c>
      <x:c r="L109" s="5" t="n">
        <x:v>2.5728047407054477</x:v>
      </x:c>
    </x:row>
    <x:row r="110" ht="32" customHeight="1">
      <x:c r="A110" s="10" t="str">
        <x:v>Turkish</x:v>
      </x:c>
      <x:c r="B110" s="10" t="str">
        <x:v>Female</x:v>
      </x:c>
      <x:c r="C110" s="10" t="str">
        <x:v>5-40</x:v>
      </x:c>
      <x:c r="D110" s="11" t="str">
        <x:v>BrainAGE_S (cohort age-trend adjusted BAG)</x:v>
      </x:c>
      <x:c r="E110" s="12" t="n">
        <x:v>268</x:v>
      </x:c>
      <x:c r="F110" s="5" t="n">
        <x:v>19.59328358208955</x:v>
      </x:c>
      <x:c r="G110" s="5" t="n">
        <x:v>2.4484711353318853</x:v>
      </x:c>
      <x:c r="H110" s="5" t="n">
        <x:v>13</x:v>
      </x:c>
      <x:c r="I110" s="5" t="n">
        <x:v>24</x:v>
      </x:c>
      <x:c r="J110" s="5" t="n">
        <x:v>-0.4677516761140262</x:v>
      </x:c>
      <x:c r="K110" s="5" t="n">
        <x:v>3.0063911177194194</x:v>
      </x:c>
      <x:c r="L110" s="5" t="n">
        <x:v>2.4133286727229613</x:v>
      </x:c>
    </x:row>
    <x:row r="111" ht="32" customHeight="1">
      <x:c r="A111" s="10" t="str">
        <x:v>Turkish</x:v>
      </x:c>
      <x:c r="B111" s="10" t="str">
        <x:v>Male</x:v>
      </x:c>
      <x:c r="C111" s="10" t="str">
        <x:v>5-40</x:v>
      </x:c>
      <x:c r="D111" s="11" t="str">
        <x:v>Raw CentileBrain BAG</x:v>
      </x:c>
      <x:c r="E111" s="12" t="n">
        <x:v>154</x:v>
      </x:c>
      <x:c r="F111" s="5" t="n">
        <x:v>19.59090909090909</x:v>
      </x:c>
      <x:c r="G111" s="5" t="n">
        <x:v>2.3999282025307416</x:v>
      </x:c>
      <x:c r="H111" s="5" t="n">
        <x:v>14</x:v>
      </x:c>
      <x:c r="I111" s="5" t="n">
        <x:v>24</x:v>
      </x:c>
      <x:c r="J111" s="5" t="n">
        <x:v>-0.437793579191626</x:v>
      </x:c>
      <x:c r="K111" s="5" t="n">
        <x:v>3.5831694727113113</x:v>
      </x:c>
      <x:c r="L111" s="5" t="n">
        <x:v>2.864634009735683</x:v>
      </x:c>
    </x:row>
    <x:row r="112" ht="32" customHeight="1">
      <x:c r="A112" s="10" t="str">
        <x:v>Turkish</x:v>
      </x:c>
      <x:c r="B112" s="10" t="str">
        <x:v>Male</x:v>
      </x:c>
      <x:c r="C112" s="10" t="str">
        <x:v>5-40</x:v>
      </x:c>
      <x:c r="D112" s="11" t="str">
        <x:v>CentileBrain panel-adjusted BAG</x:v>
      </x:c>
      <x:c r="E112" s="12" t="n">
        <x:v>154</x:v>
      </x:c>
      <x:c r="F112" s="5" t="n">
        <x:v>19.59090909090909</x:v>
      </x:c>
      <x:c r="G112" s="5" t="n">
        <x:v>2.3999282025307416</x:v>
      </x:c>
      <x:c r="H112" s="5" t="n">
        <x:v>14</x:v>
      </x:c>
      <x:c r="I112" s="5" t="n">
        <x:v>24</x:v>
      </x:c>
      <x:c r="J112" s="5" t="n">
        <x:v>-0.24714756709446986</x:v>
      </x:c>
      <x:c r="K112" s="5" t="n">
        <x:v>3.394069306789935</x:v>
      </x:c>
      <x:c r="L112" s="5" t="n">
        <x:v>2.7091679439822633</x:v>
      </x:c>
    </x:row>
    <x:row r="113" ht="32" customHeight="1">
      <x:c r="A113" s="10" t="str">
        <x:v>Turkish</x:v>
      </x:c>
      <x:c r="B113" s="10" t="str">
        <x:v>Male</x:v>
      </x:c>
      <x:c r="C113" s="10" t="str">
        <x:v>5-40</x:v>
      </x:c>
      <x:c r="D113" s="11" t="str">
        <x:v>Training-reference 10-year bucket-adjusted BAG</x:v>
      </x:c>
      <x:c r="E113" s="12" t="n">
        <x:v>154</x:v>
      </x:c>
      <x:c r="F113" s="5" t="n">
        <x:v>19.59090909090909</x:v>
      </x:c>
      <x:c r="G113" s="5" t="n">
        <x:v>2.3999282025307416</x:v>
      </x:c>
      <x:c r="H113" s="5" t="n">
        <x:v>14</x:v>
      </x:c>
      <x:c r="I113" s="5" t="n">
        <x:v>24</x:v>
      </x:c>
      <x:c r="J113" s="5" t="n">
        <x:v>-0.6744871567400798</x:v>
      </x:c>
      <x:c r="K113" s="5" t="n">
        <x:v>3.552083584114612</x:v>
      </x:c>
      <x:c r="L113" s="5" t="n">
        <x:v>2.87009192657406</x:v>
      </x:c>
    </x:row>
    <x:row r="114" ht="32" customHeight="1">
      <x:c r="A114" s="10" t="str">
        <x:v>Turkish</x:v>
      </x:c>
      <x:c r="B114" s="10" t="str">
        <x:v>Male</x:v>
      </x:c>
      <x:c r="C114" s="10" t="str">
        <x:v>5-40</x:v>
      </x:c>
      <x:c r="D114" s="11" t="str">
        <x:v>Training-reference 5-year bucket-adjusted BAG</x:v>
      </x:c>
      <x:c r="E114" s="12" t="n">
        <x:v>154</x:v>
      </x:c>
      <x:c r="F114" s="5" t="n">
        <x:v>19.59090909090909</x:v>
      </x:c>
      <x:c r="G114" s="5" t="n">
        <x:v>2.3999282025307416</x:v>
      </x:c>
      <x:c r="H114" s="5" t="n">
        <x:v>14</x:v>
      </x:c>
      <x:c r="I114" s="5" t="n">
        <x:v>24</x:v>
      </x:c>
      <x:c r="J114" s="5" t="n">
        <x:v>-0.6929655041801889</x:v>
      </x:c>
      <x:c r="K114" s="5" t="n">
        <x:v>3.545542150347496</x:v>
      </x:c>
      <x:c r="L114" s="5" t="n">
        <x:v>2.8627700860962366</x:v>
      </x:c>
    </x:row>
    <x:row r="115" ht="32" customHeight="1">
      <x:c r="A115" s="10" t="str">
        <x:v>Turkish</x:v>
      </x:c>
      <x:c r="B115" s="10" t="str">
        <x:v>Male</x:v>
      </x:c>
      <x:c r="C115" s="10" t="str">
        <x:v>5-40</x:v>
      </x:c>
      <x:c r="D115" s="11" t="str">
        <x:v>BrainAGE_S (cohort age-trend adjusted BAG)</x:v>
      </x:c>
      <x:c r="E115" s="12" t="n">
        <x:v>154</x:v>
      </x:c>
      <x:c r="F115" s="5" t="n">
        <x:v>19.59090909090909</x:v>
      </x:c>
      <x:c r="G115" s="5" t="n">
        <x:v>2.3999282025307416</x:v>
      </x:c>
      <x:c r="H115" s="5" t="n">
        <x:v>14</x:v>
      </x:c>
      <x:c r="I115" s="5" t="n">
        <x:v>24</x:v>
      </x:c>
      <x:c r="J115" s="5" t="n">
        <x:v>-0.2471475670944698</x:v>
      </x:c>
      <x:c r="K115" s="5" t="n">
        <x:v>3.3928630504171617</x:v>
      </x:c>
      <x:c r="L115" s="5" t="n">
        <x:v>2.7101694589153396</x:v>
      </x:c>
    </x:row>
  </x:sheetData>
  <x:pageMargins left="0.7" right="0.7" top="0.75" bottom="0.75" header="0.3" footer="0.3"/>
  <x:tableParts count="1">
    <x:tablePart xmlns:r="http://schemas.openxmlformats.org/officeDocument/2006/relationships" r:id="R5bd690b514b3424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0" hidden="0" customWidth="1"/>
    <x:col min="3" max="3" width="13" hidden="0" customWidth="1"/>
    <x:col min="4" max="4" width="48" hidden="0" customWidth="1"/>
    <x:col min="5" max="5" width="9" hidden="0" customWidth="1"/>
    <x:col min="6" max="6" width="14" hidden="0" customWidth="1"/>
    <x:col min="7" max="7" width="13" hidden="0" customWidth="1"/>
    <x:col min="8" max="8" width="13" hidden="0" customWidth="1"/>
    <x:col min="9" max="9" width="13" hidden="0" customWidth="1"/>
    <x:col min="10" max="10" width="20" hidden="0" customWidth="1"/>
    <x:col min="11" max="11" width="18" hidden="0" customWidth="1"/>
    <x:col min="12" max="12" width="13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5" customHeight="1">
      <x:c r="A2" s="2" t="str">
        <x:v>Training reference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1" t="str">
        <x:v>Training/reference controls shown separately. Independence from model training is unverified.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5" ht="38" customHeight="1">
      <x:c r="A5" s="9" t="str">
        <x:v>Group</x:v>
      </x:c>
      <x:c r="B5" s="9" t="str">
        <x:v>Sex</x:v>
      </x:c>
      <x:c r="C5" s="9" t="str">
        <x:v>Age panel</x:v>
      </x:c>
      <x:c r="D5" s="9" t="str">
        <x:v>Method</x:v>
      </x:c>
      <x:c r="E5" s="9" t="str">
        <x:v>N</x:v>
      </x:c>
      <x:c r="F5" s="9" t="str">
        <x:v>Age mean (yr)</x:v>
      </x:c>
      <x:c r="G5" s="9" t="str">
        <x:v>Age SD (yr)</x:v>
      </x:c>
      <x:c r="H5" s="9" t="str">
        <x:v>Age min (yr)</x:v>
      </x:c>
      <x:c r="I5" s="9" t="str">
        <x:v>Age max (yr)</x:v>
      </x:c>
      <x:c r="J5" s="9" t="str">
        <x:v>BrainAGE mean (yr)</x:v>
      </x:c>
      <x:c r="K5" s="9" t="str">
        <x:v>BrainAGE SD (yr)</x:v>
      </x:c>
      <x:c r="L5" s="9" t="str">
        <x:v>MAE (yr)</x:v>
      </x:c>
    </x:row>
    <x:row r="6" ht="32" customHeight="1">
      <x:c r="A6" s="10" t="str">
        <x:v>Training/reference</x:v>
      </x:c>
      <x:c r="B6" s="10" t="str">
        <x:v>Female</x:v>
      </x:c>
      <x:c r="C6" s="10" t="str">
        <x:v>5-40</x:v>
      </x:c>
      <x:c r="D6" s="11" t="str">
        <x:v>Raw CentileBrain BAG</x:v>
      </x:c>
      <x:c r="E6" s="12" t="n">
        <x:v>8505</x:v>
      </x:c>
      <x:c r="F6" s="5" t="n">
        <x:v>18.142873757392476</x:v>
      </x:c>
      <x:c r="G6" s="5" t="n">
        <x:v>7.461047103687667</x:v>
      </x:c>
      <x:c r="H6" s="5" t="n">
        <x:v>5.096851</x:v>
      </x:c>
      <x:c r="I6" s="5" t="n">
        <x:v>40</x:v>
      </x:c>
      <x:c r="J6" s="5" t="n">
        <x:v>-0.1677195807173427</x:v>
      </x:c>
      <x:c r="K6" s="5" t="n">
        <x:v>1.8621377360016507</x:v>
      </x:c>
      <x:c r="L6" s="5" t="n">
        <x:v>1.1241253304109349</x:v>
      </x:c>
    </x:row>
    <x:row r="7" ht="32" customHeight="1">
      <x:c r="A7" s="10" t="str">
        <x:v>Training/reference</x:v>
      </x:c>
      <x:c r="B7" s="10" t="str">
        <x:v>Female</x:v>
      </x:c>
      <x:c r="C7" s="10" t="str">
        <x:v>5-40</x:v>
      </x:c>
      <x:c r="D7" s="11" t="str">
        <x:v>CentileBrain panel-adjusted BAG</x:v>
      </x:c>
      <x:c r="E7" s="12" t="n">
        <x:v>8505</x:v>
      </x:c>
      <x:c r="F7" s="5" t="n">
        <x:v>18.142873757392476</x:v>
      </x:c>
      <x:c r="G7" s="5" t="n">
        <x:v>7.461047103687667</x:v>
      </x:c>
      <x:c r="H7" s="5" t="n">
        <x:v>5.096851</x:v>
      </x:c>
      <x:c r="I7" s="5" t="n">
        <x:v>40</x:v>
      </x:c>
      <x:c r="J7" s="5" t="n">
        <x:v>-0.008381465306172826</x:v>
      </x:c>
      <x:c r="K7" s="5" t="n">
        <x:v>1.8472364160212758</x:v>
      </x:c>
      <x:c r="L7" s="5" t="n">
        <x:v>1.4480463025786008</x:v>
      </x:c>
    </x:row>
    <x:row r="8" ht="32" customHeight="1">
      <x:c r="A8" s="10" t="str">
        <x:v>Training/reference</x:v>
      </x:c>
      <x:c r="B8" s="10" t="str">
        <x:v>Female</x:v>
      </x:c>
      <x:c r="C8" s="10" t="str">
        <x:v>5-40</x:v>
      </x:c>
      <x:c r="D8" s="11" t="str">
        <x:v>Training-reference 10-year bucket-adjusted BAG</x:v>
      </x:c>
      <x:c r="E8" s="12" t="n">
        <x:v>8505</x:v>
      </x:c>
      <x:c r="F8" s="5" t="n">
        <x:v>18.142873757392476</x:v>
      </x:c>
      <x:c r="G8" s="5" t="n">
        <x:v>7.461047103687667</x:v>
      </x:c>
      <x:c r="H8" s="5" t="n">
        <x:v>5.096851</x:v>
      </x:c>
      <x:c r="I8" s="5" t="n">
        <x:v>40</x:v>
      </x:c>
      <x:c r="J8" s="5" t="n">
        <x:v>6.683529554474781e-17</x:v>
      </x:c>
      <x:c r="K8" s="5" t="n">
        <x:v>1.4083709833811062</x:v>
      </x:c>
      <x:c r="L8" s="5" t="n">
        <x:v>0.9465194787493354</x:v>
      </x:c>
    </x:row>
    <x:row r="9" ht="32" customHeight="1">
      <x:c r="A9" s="10" t="str">
        <x:v>Training/reference</x:v>
      </x:c>
      <x:c r="B9" s="10" t="str">
        <x:v>Female</x:v>
      </x:c>
      <x:c r="C9" s="10" t="str">
        <x:v>5-40</x:v>
      </x:c>
      <x:c r="D9" s="11" t="str">
        <x:v>Training-reference 5-year bucket-adjusted BAG</x:v>
      </x:c>
      <x:c r="E9" s="12" t="n">
        <x:v>8505</x:v>
      </x:c>
      <x:c r="F9" s="5" t="n">
        <x:v>18.142873757392476</x:v>
      </x:c>
      <x:c r="G9" s="5" t="n">
        <x:v>7.461047103687667</x:v>
      </x:c>
      <x:c r="H9" s="5" t="n">
        <x:v>5.096851</x:v>
      </x:c>
      <x:c r="I9" s="5" t="n">
        <x:v>40</x:v>
      </x:c>
      <x:c r="J9" s="5" t="n">
        <x:v>1.4703765019844518e-16</x:v>
      </x:c>
      <x:c r="K9" s="5" t="n">
        <x:v>1.403811897421483</x:v>
      </x:c>
      <x:c r="L9" s="5" t="n">
        <x:v>0.9324150613671653</x:v>
      </x:c>
    </x:row>
    <x:row r="10" ht="32" customHeight="1">
      <x:c r="A10" s="10" t="str">
        <x:v>Training/reference</x:v>
      </x:c>
      <x:c r="B10" s="10" t="str">
        <x:v>Female</x:v>
      </x:c>
      <x:c r="C10" s="10" t="str">
        <x:v>5-40</x:v>
      </x:c>
      <x:c r="D10" s="11" t="str">
        <x:v>BrainAGE_S (cohort age-trend adjusted BAG)</x:v>
      </x:c>
      <x:c r="E10" s="12" t="n">
        <x:v>8505</x:v>
      </x:c>
      <x:c r="F10" s="5" t="n">
        <x:v>18.142873757392476</x:v>
      </x:c>
      <x:c r="G10" s="5" t="n">
        <x:v>7.461047103687667</x:v>
      </x:c>
      <x:c r="H10" s="5" t="n">
        <x:v>5.096851</x:v>
      </x:c>
      <x:c r="I10" s="5" t="n">
        <x:v>40</x:v>
      </x:c>
      <x:c r="J10" s="5" t="n">
        <x:v>-0.008381465306172746</x:v>
      </x:c>
      <x:c r="K10" s="5" t="n">
        <x:v>1.6369418081474174</x:v>
      </x:c>
      <x:c r="L10" s="5" t="n">
        <x:v>1.0511832644936705</x:v>
      </x:c>
    </x:row>
    <x:row r="11" ht="32" customHeight="1">
      <x:c r="A11" s="10" t="str">
        <x:v>Training/reference</x:v>
      </x:c>
      <x:c r="B11" s="10" t="str">
        <x:v>Female</x:v>
      </x:c>
      <x:c r="C11" s="10" t="str">
        <x:v>40-90</x:v>
      </x:c>
      <x:c r="D11" s="11" t="str">
        <x:v>Raw CentileBrain BAG</x:v>
      </x:c>
      <x:c r="E11" s="12" t="n">
        <x:v>9493</x:v>
      </x:c>
      <x:c r="F11" s="5" t="n">
        <x:v>62.12268093738439</x:v>
      </x:c>
      <x:c r="G11" s="5" t="n">
        <x:v>8.624734746642243</x:v>
      </x:c>
      <x:c r="H11" s="5" t="n">
        <x:v>40.08</x:v>
      </x:c>
      <x:c r="I11" s="5" t="n">
        <x:v>89.83333333</x:v>
      </x:c>
      <x:c r="J11" s="5" t="n">
        <x:v>0.16005490668387234</x:v>
      </x:c>
      <x:c r="K11" s="5" t="n">
        <x:v>5.067468228680509</x:v>
      </x:c>
      <x:c r="L11" s="5" t="n">
        <x:v>3.7490529400136947</x:v>
      </x:c>
    </x:row>
    <x:row r="12" ht="32" customHeight="1">
      <x:c r="A12" s="10" t="str">
        <x:v>Training/reference</x:v>
      </x:c>
      <x:c r="B12" s="10" t="str">
        <x:v>Female</x:v>
      </x:c>
      <x:c r="C12" s="10" t="str">
        <x:v>40-90</x:v>
      </x:c>
      <x:c r="D12" s="11" t="str">
        <x:v>CentileBrain panel-adjusted BAG</x:v>
      </x:c>
      <x:c r="E12" s="12" t="n">
        <x:v>9493</x:v>
      </x:c>
      <x:c r="F12" s="5" t="n">
        <x:v>62.12268093738439</x:v>
      </x:c>
      <x:c r="G12" s="5" t="n">
        <x:v>8.624734746642243</x:v>
      </x:c>
      <x:c r="H12" s="5" t="n">
        <x:v>40.08</x:v>
      </x:c>
      <x:c r="I12" s="5" t="n">
        <x:v>89.83333333</x:v>
      </x:c>
      <x:c r="J12" s="5" t="n">
        <x:v>0.014204262004634986</x:v>
      </x:c>
      <x:c r="K12" s="5" t="n">
        <x:v>3.9069781546350115</x:v>
      </x:c>
      <x:c r="L12" s="5" t="n">
        <x:v>3.083662273838618</x:v>
      </x:c>
    </x:row>
    <x:row r="13" ht="32" customHeight="1">
      <x:c r="A13" s="10" t="str">
        <x:v>Training/reference</x:v>
      </x:c>
      <x:c r="B13" s="10" t="str">
        <x:v>Female</x:v>
      </x:c>
      <x:c r="C13" s="10" t="str">
        <x:v>40-90</x:v>
      </x:c>
      <x:c r="D13" s="11" t="str">
        <x:v>Training-reference 10-year bucket-adjusted BAG</x:v>
      </x:c>
      <x:c r="E13" s="12" t="n">
        <x:v>9493</x:v>
      </x:c>
      <x:c r="F13" s="5" t="n">
        <x:v>62.12268093738439</x:v>
      </x:c>
      <x:c r="G13" s="5" t="n">
        <x:v>8.624734746642243</x:v>
      </x:c>
      <x:c r="H13" s="5" t="n">
        <x:v>40.08</x:v>
      </x:c>
      <x:c r="I13" s="5" t="n">
        <x:v>89.83333333</x:v>
      </x:c>
      <x:c r="J13" s="5" t="n">
        <x:v>-1.3338113927362252e-15</x:v>
      </x:c>
      <x:c r="K13" s="5" t="n">
        <x:v>3.768891454521732</x:v>
      </x:c>
      <x:c r="L13" s="5" t="n">
        <x:v>2.9440612664123895</x:v>
      </x:c>
    </x:row>
    <x:row r="14" ht="32" customHeight="1">
      <x:c r="A14" s="10" t="str">
        <x:v>Training/reference</x:v>
      </x:c>
      <x:c r="B14" s="10" t="str">
        <x:v>Female</x:v>
      </x:c>
      <x:c r="C14" s="10" t="str">
        <x:v>40-90</x:v>
      </x:c>
      <x:c r="D14" s="11" t="str">
        <x:v>Training-reference 5-year bucket-adjusted BAG</x:v>
      </x:c>
      <x:c r="E14" s="12" t="n">
        <x:v>9493</x:v>
      </x:c>
      <x:c r="F14" s="5" t="n">
        <x:v>62.12268093738439</x:v>
      </x:c>
      <x:c r="G14" s="5" t="n">
        <x:v>8.624734746642243</x:v>
      </x:c>
      <x:c r="H14" s="5" t="n">
        <x:v>40.08</x:v>
      </x:c>
      <x:c r="I14" s="5" t="n">
        <x:v>89.83333333</x:v>
      </x:c>
      <x:c r="J14" s="5" t="n">
        <x:v>-8.203464009196985e-16</x:v>
      </x:c>
      <x:c r="K14" s="5" t="n">
        <x:v>3.764968066617578</x:v>
      </x:c>
      <x:c r="L14" s="5" t="n">
        <x:v>2.940793103477787</x:v>
      </x:c>
    </x:row>
    <x:row r="15" ht="32" customHeight="1">
      <x:c r="A15" s="10" t="str">
        <x:v>Training/reference</x:v>
      </x:c>
      <x:c r="B15" s="10" t="str">
        <x:v>Female</x:v>
      </x:c>
      <x:c r="C15" s="10" t="str">
        <x:v>40-90</x:v>
      </x:c>
      <x:c r="D15" s="11" t="str">
        <x:v>BrainAGE_S (cohort age-trend adjusted BAG)</x:v>
      </x:c>
      <x:c r="E15" s="12" t="n">
        <x:v>9493</x:v>
      </x:c>
      <x:c r="F15" s="5" t="n">
        <x:v>62.12268093738439</x:v>
      </x:c>
      <x:c r="G15" s="5" t="n">
        <x:v>8.624734746642243</x:v>
      </x:c>
      <x:c r="H15" s="5" t="n">
        <x:v>40.08</x:v>
      </x:c>
      <x:c r="I15" s="5" t="n">
        <x:v>89.83333333</x:v>
      </x:c>
      <x:c r="J15" s="5" t="n">
        <x:v>0.01420426200463492</x:v>
      </x:c>
      <x:c r="K15" s="5" t="n">
        <x:v>3.831440612374372</x:v>
      </x:c>
      <x:c r="L15" s="5" t="n">
        <x:v>2.9900072569284117</x:v>
      </x:c>
    </x:row>
    <x:row r="16" ht="32" customHeight="1">
      <x:c r="A16" s="10" t="str">
        <x:v>Training/reference</x:v>
      </x:c>
      <x:c r="B16" s="10" t="str">
        <x:v>Male</x:v>
      </x:c>
      <x:c r="C16" s="10" t="str">
        <x:v>5-40</x:v>
      </x:c>
      <x:c r="D16" s="11" t="str">
        <x:v>Raw CentileBrain BAG</x:v>
      </x:c>
      <x:c r="E16" s="12" t="n">
        <x:v>7541</x:v>
      </x:c>
      <x:c r="F16" s="5" t="n">
        <x:v>17.606945464623394</x:v>
      </x:c>
      <x:c r="G16" s="5" t="n">
        <x:v>7.640564671352675</x:v>
      </x:c>
      <x:c r="H16" s="5" t="n">
        <x:v>5.016997</x:v>
      </x:c>
      <x:c r="I16" s="5" t="n">
        <x:v>40</x:v>
      </x:c>
      <x:c r="J16" s="5" t="n">
        <x:v>-0.1705342650307651</x:v>
      </x:c>
      <x:c r="K16" s="5" t="n">
        <x:v>1.8838713664445934</x:v>
      </x:c>
      <x:c r="L16" s="5" t="n">
        <x:v>1.1331125880274502</x:v>
      </x:c>
    </x:row>
    <x:row r="17" ht="32" customHeight="1">
      <x:c r="A17" s="10" t="str">
        <x:v>Training/reference</x:v>
      </x:c>
      <x:c r="B17" s="10" t="str">
        <x:v>Male</x:v>
      </x:c>
      <x:c r="C17" s="10" t="str">
        <x:v>5-40</x:v>
      </x:c>
      <x:c r="D17" s="11" t="str">
        <x:v>CentileBrain panel-adjusted BAG</x:v>
      </x:c>
      <x:c r="E17" s="12" t="n">
        <x:v>7541</x:v>
      </x:c>
      <x:c r="F17" s="5" t="n">
        <x:v>17.606945464623394</x:v>
      </x:c>
      <x:c r="G17" s="5" t="n">
        <x:v>7.640564671352675</x:v>
      </x:c>
      <x:c r="H17" s="5" t="n">
        <x:v>5.016997</x:v>
      </x:c>
      <x:c r="I17" s="5" t="n">
        <x:v>40</x:v>
      </x:c>
      <x:c r="J17" s="5" t="n">
        <x:v>-0.003283886222118988</x:v>
      </x:c>
      <x:c r="K17" s="5" t="n">
        <x:v>1.8934216045317733</x:v>
      </x:c>
      <x:c r="L17" s="5" t="n">
        <x:v>1.4961591848305265</x:v>
      </x:c>
    </x:row>
    <x:row r="18" ht="32" customHeight="1">
      <x:c r="A18" s="10" t="str">
        <x:v>Training/reference</x:v>
      </x:c>
      <x:c r="B18" s="10" t="str">
        <x:v>Male</x:v>
      </x:c>
      <x:c r="C18" s="10" t="str">
        <x:v>5-40</x:v>
      </x:c>
      <x:c r="D18" s="11" t="str">
        <x:v>Training-reference 10-year bucket-adjusted BAG</x:v>
      </x:c>
      <x:c r="E18" s="12" t="n">
        <x:v>7541</x:v>
      </x:c>
      <x:c r="F18" s="5" t="n">
        <x:v>17.606945464623394</x:v>
      </x:c>
      <x:c r="G18" s="5" t="n">
        <x:v>7.640564671352675</x:v>
      </x:c>
      <x:c r="H18" s="5" t="n">
        <x:v>5.016997</x:v>
      </x:c>
      <x:c r="I18" s="5" t="n">
        <x:v>40</x:v>
      </x:c>
      <x:c r="J18" s="5" t="n">
        <x:v>-3.3920618601463476e-16</x:v>
      </x:c>
      <x:c r="K18" s="5" t="n">
        <x:v>1.4347460131803924</x:v>
      </x:c>
      <x:c r="L18" s="5" t="n">
        <x:v>0.9646955134657955</x:v>
      </x:c>
    </x:row>
    <x:row r="19" ht="32" customHeight="1">
      <x:c r="A19" s="10" t="str">
        <x:v>Training/reference</x:v>
      </x:c>
      <x:c r="B19" s="10" t="str">
        <x:v>Male</x:v>
      </x:c>
      <x:c r="C19" s="10" t="str">
        <x:v>5-40</x:v>
      </x:c>
      <x:c r="D19" s="11" t="str">
        <x:v>Training-reference 5-year bucket-adjusted BAG</x:v>
      </x:c>
      <x:c r="E19" s="12" t="n">
        <x:v>7541</x:v>
      </x:c>
      <x:c r="F19" s="5" t="n">
        <x:v>17.606945464623394</x:v>
      </x:c>
      <x:c r="G19" s="5" t="n">
        <x:v>7.640564671352675</x:v>
      </x:c>
      <x:c r="H19" s="5" t="n">
        <x:v>5.016997</x:v>
      </x:c>
      <x:c r="I19" s="5" t="n">
        <x:v>40</x:v>
      </x:c>
      <x:c r="J19" s="5" t="n">
        <x:v>-4.692352239869114e-16</x:v>
      </x:c>
      <x:c r="K19" s="5" t="n">
        <x:v>1.4273777415467068</x:v>
      </x:c>
      <x:c r="L19" s="5" t="n">
        <x:v>0.9487795364730731</x:v>
      </x:c>
    </x:row>
    <x:row r="20" ht="32" customHeight="1">
      <x:c r="A20" s="10" t="str">
        <x:v>Training/reference</x:v>
      </x:c>
      <x:c r="B20" s="10" t="str">
        <x:v>Male</x:v>
      </x:c>
      <x:c r="C20" s="10" t="str">
        <x:v>5-40</x:v>
      </x:c>
      <x:c r="D20" s="11" t="str">
        <x:v>BrainAGE_S (cohort age-trend adjusted BAG)</x:v>
      </x:c>
      <x:c r="E20" s="12" t="n">
        <x:v>7541</x:v>
      </x:c>
      <x:c r="F20" s="5" t="n">
        <x:v>17.606945464623394</x:v>
      </x:c>
      <x:c r="G20" s="5" t="n">
        <x:v>7.640564671352675</x:v>
      </x:c>
      <x:c r="H20" s="5" t="n">
        <x:v>5.016997</x:v>
      </x:c>
      <x:c r="I20" s="5" t="n">
        <x:v>40</x:v>
      </x:c>
      <x:c r="J20" s="5" t="n">
        <x:v>-0.0032838862221188487</x:v>
      </x:c>
      <x:c r="K20" s="5" t="n">
        <x:v>1.6407047487357702</x:v>
      </x:c>
      <x:c r="L20" s="5" t="n">
        <x:v>1.0495661847723396</x:v>
      </x:c>
    </x:row>
    <x:row r="21" ht="32" customHeight="1">
      <x:c r="A21" s="10" t="str">
        <x:v>Training/reference</x:v>
      </x:c>
      <x:c r="B21" s="10" t="str">
        <x:v>Male</x:v>
      </x:c>
      <x:c r="C21" s="10" t="str">
        <x:v>40-90</x:v>
      </x:c>
      <x:c r="D21" s="11" t="str">
        <x:v>Raw CentileBrain BAG</x:v>
      </x:c>
      <x:c r="E21" s="12" t="n">
        <x:v>7788</x:v>
      </x:c>
      <x:c r="F21" s="5" t="n">
        <x:v>62.21579440208526</x:v>
      </x:c>
      <x:c r="G21" s="5" t="n">
        <x:v>9.044625324777527</x:v>
      </x:c>
      <x:c r="H21" s="5" t="n">
        <x:v>40.08</x:v>
      </x:c>
      <x:c r="I21" s="5" t="n">
        <x:v>90</x:v>
      </x:c>
      <x:c r="J21" s="5" t="n">
        <x:v>0.06490627489214165</x:v>
      </x:c>
      <x:c r="K21" s="5" t="n">
        <x:v>5.1741555492650955</x:v>
      </x:c>
      <x:c r="L21" s="5" t="n">
        <x:v>3.863230401777093</x:v>
      </x:c>
    </x:row>
    <x:row r="22" ht="32" customHeight="1">
      <x:c r="A22" s="10" t="str">
        <x:v>Training/reference</x:v>
      </x:c>
      <x:c r="B22" s="10" t="str">
        <x:v>Male</x:v>
      </x:c>
      <x:c r="C22" s="10" t="str">
        <x:v>40-90</x:v>
      </x:c>
      <x:c r="D22" s="11" t="str">
        <x:v>CentileBrain panel-adjusted BAG</x:v>
      </x:c>
      <x:c r="E22" s="12" t="n">
        <x:v>7788</x:v>
      </x:c>
      <x:c r="F22" s="5" t="n">
        <x:v>62.21579440208526</x:v>
      </x:c>
      <x:c r="G22" s="5" t="n">
        <x:v>9.044625324777527</x:v>
      </x:c>
      <x:c r="H22" s="5" t="n">
        <x:v>40.08</x:v>
      </x:c>
      <x:c r="I22" s="5" t="n">
        <x:v>90</x:v>
      </x:c>
      <x:c r="J22" s="5" t="n">
        <x:v>-0.00856909801617877</x:v>
      </x:c>
      <x:c r="K22" s="5" t="n">
        <x:v>4.06765744038567</x:v>
      </x:c>
      <x:c r="L22" s="5" t="n">
        <x:v>3.229780626449666</x:v>
      </x:c>
    </x:row>
    <x:row r="23" ht="32" customHeight="1">
      <x:c r="A23" s="10" t="str">
        <x:v>Training/reference</x:v>
      </x:c>
      <x:c r="B23" s="10" t="str">
        <x:v>Male</x:v>
      </x:c>
      <x:c r="C23" s="10" t="str">
        <x:v>40-90</x:v>
      </x:c>
      <x:c r="D23" s="11" t="str">
        <x:v>Training-reference 10-year bucket-adjusted BAG</x:v>
      </x:c>
      <x:c r="E23" s="12" t="n">
        <x:v>7788</x:v>
      </x:c>
      <x:c r="F23" s="5" t="n">
        <x:v>62.21579440208526</x:v>
      </x:c>
      <x:c r="G23" s="5" t="n">
        <x:v>9.044625324777527</x:v>
      </x:c>
      <x:c r="H23" s="5" t="n">
        <x:v>40.08</x:v>
      </x:c>
      <x:c r="I23" s="5" t="n">
        <x:v>90</x:v>
      </x:c>
      <x:c r="J23" s="5" t="n">
        <x:v>-1.9925851757833318e-15</x:v>
      </x:c>
      <x:c r="K23" s="5" t="n">
        <x:v>3.9672710649253933</x:v>
      </x:c>
      <x:c r="L23" s="5" t="n">
        <x:v>3.1016608517581385</x:v>
      </x:c>
    </x:row>
    <x:row r="24" ht="32" customHeight="1">
      <x:c r="A24" s="10" t="str">
        <x:v>Training/reference</x:v>
      </x:c>
      <x:c r="B24" s="10" t="str">
        <x:v>Male</x:v>
      </x:c>
      <x:c r="C24" s="10" t="str">
        <x:v>40-90</x:v>
      </x:c>
      <x:c r="D24" s="11" t="str">
        <x:v>Training-reference 5-year bucket-adjusted BAG</x:v>
      </x:c>
      <x:c r="E24" s="12" t="n">
        <x:v>7788</x:v>
      </x:c>
      <x:c r="F24" s="5" t="n">
        <x:v>62.21579440208526</x:v>
      </x:c>
      <x:c r="G24" s="5" t="n">
        <x:v>9.044625324777527</x:v>
      </x:c>
      <x:c r="H24" s="5" t="n">
        <x:v>40.08</x:v>
      </x:c>
      <x:c r="I24" s="5" t="n">
        <x:v>90</x:v>
      </x:c>
      <x:c r="J24" s="5" t="n">
        <x:v>1.328390117188888e-15</x:v>
      </x:c>
      <x:c r="K24" s="5" t="n">
        <x:v>3.9597737479716635</x:v>
      </x:c>
      <x:c r="L24" s="5" t="n">
        <x:v>3.0975568891604484</x:v>
      </x:c>
    </x:row>
    <x:row r="25" ht="32" customHeight="1">
      <x:c r="A25" s="10" t="str">
        <x:v>Training/reference</x:v>
      </x:c>
      <x:c r="B25" s="10" t="str">
        <x:v>Male</x:v>
      </x:c>
      <x:c r="C25" s="10" t="str">
        <x:v>40-90</x:v>
      </x:c>
      <x:c r="D25" s="11" t="str">
        <x:v>BrainAGE_S (cohort age-trend adjusted BAG)</x:v>
      </x:c>
      <x:c r="E25" s="12" t="n">
        <x:v>7788</x:v>
      </x:c>
      <x:c r="F25" s="5" t="n">
        <x:v>62.21579440208526</x:v>
      </x:c>
      <x:c r="G25" s="5" t="n">
        <x:v>9.044625324777527</x:v>
      </x:c>
      <x:c r="H25" s="5" t="n">
        <x:v>40.08</x:v>
      </x:c>
      <x:c r="I25" s="5" t="n">
        <x:v>90</x:v>
      </x:c>
      <x:c r="J25" s="5" t="n">
        <x:v>-0.00856909801617883</x:v>
      </x:c>
      <x:c r="K25" s="5" t="n">
        <x:v>3.9860105843067433</x:v>
      </x:c>
      <x:c r="L25" s="5" t="n">
        <x:v>3.1093782978450912</x:v>
      </x:c>
    </x:row>
  </x:sheetData>
  <x:pageMargins left="0.7" right="0.7" top="0.75" bottom="0.75" header="0.3" footer="0.3"/>
  <x:tableParts count="1">
    <x:tablePart xmlns:r="http://schemas.openxmlformats.org/officeDocument/2006/relationships" r:id="R03e6d2ce9bbe4dd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0" hidden="0" customWidth="1"/>
    <x:col min="3" max="3" width="13" hidden="0" customWidth="1"/>
    <x:col min="4" max="4" width="20" hidden="0" customWidth="1"/>
    <x:col min="5" max="5" width="12" hidden="0" customWidth="1"/>
    <x:col min="6" max="6" width="12" hidden="0" customWidth="1"/>
    <x:col min="7" max="7" width="14" hidden="0" customWidth="1"/>
    <x:col min="8" max="8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 ht="25" customHeight="1">
      <x:c r="A2" s="2" t="str">
        <x:v>Methods and coverage</x:v>
      </x:c>
      <x:c r="B2" s="1"/>
      <x:c r="C2" s="1"/>
      <x:c r="D2" s="1"/>
      <x:c r="E2" s="1"/>
      <x:c r="F2" s="1"/>
      <x:c r="G2" s="1"/>
      <x:c r="H2" s="1"/>
    </x:row>
    <x:row r="3">
      <x:c r="A3" s="1"/>
      <x:c r="B3" s="1"/>
      <x:c r="C3" s="1"/>
      <x:c r="D3" s="1"/>
      <x:c r="E3" s="1"/>
      <x:c r="F3" s="1"/>
      <x:c r="G3" s="1"/>
      <x:c r="H3" s="1"/>
    </x:row>
    <x:row r="5" ht="24" customHeight="1">
      <x:c r="A5" s="17" t="str">
        <x:v>Method / definition</x:v>
      </x:c>
      <x:c r="B5" s="17" t="str"/>
      <x:c r="C5" s="17" t="str"/>
      <x:c r="D5" s="17" t="str"/>
      <x:c r="E5" s="17" t="str"/>
      <x:c r="F5" s="17" t="str"/>
      <x:c r="G5" s="17" t="str"/>
      <x:c r="H5" s="17" t="str"/>
    </x:row>
    <x:row r="6" ht="52" customHeight="1">
      <x:c r="A6" s="20" t="str">
        <x:v>Raw CentileBrain BAG</x:v>
      </x:c>
      <x:c r="B6" s="20"/>
      <x:c r="C6" s="20"/>
      <x:c r="D6" s="23" t="str">
        <x:v>CentileBrain predicted brain age - chronological age. CentileBrain output before any adjustment.</x:v>
      </x:c>
      <x:c r="E6" s="23"/>
      <x:c r="F6" s="23"/>
      <x:c r="G6" s="23"/>
      <x:c r="H6" s="23"/>
    </x:row>
    <x:row r="7" ht="52" customHeight="1">
      <x:c r="A7" s="20" t="str">
        <x:v>CentileBrain panel-adjusted BAG</x:v>
      </x:c>
      <x:c r="B7" s="20"/>
      <x:c r="C7" s="20"/>
      <x:c r="D7" s="23" t="str">
        <x:v>Supplied Adjusted_BrainAGE. CentileBrain-provided separate sex-by-age-panel linear adjustment.</x:v>
      </x:c>
      <x:c r="E7" s="23"/>
      <x:c r="F7" s="23"/>
      <x:c r="G7" s="23"/>
      <x:c r="H7" s="23"/>
    </x:row>
    <x:row r="8" ht="52" customHeight="1">
      <x:c r="A8" s="20" t="str">
        <x:v>Training-reference 10-year bucket-adjusted BAG</x:v>
      </x:c>
      <x:c r="B8" s="20"/>
      <x:c r="C8" s="20"/>
      <x:c r="D8" s="23" t="str">
        <x:v>Raw CentileBrain BAG - (training-bin slope * age + intercept). Sex-specific, panel-specific raw training reference; 10-year bins.</x:v>
      </x:c>
      <x:c r="E8" s="23"/>
      <x:c r="F8" s="23"/>
      <x:c r="G8" s="23"/>
      <x:c r="H8" s="23"/>
    </x:row>
    <x:row r="9" ht="52" customHeight="1">
      <x:c r="A9" s="20" t="str">
        <x:v>Training-reference 5-year bucket-adjusted BAG</x:v>
      </x:c>
      <x:c r="B9" s="20"/>
      <x:c r="C9" s="20"/>
      <x:c r="D9" s="23" t="str">
        <x:v>Raw CentileBrain BAG - (training-bin slope * age + intercept). Sex-specific, panel-specific raw training reference; 5-year bins.</x:v>
      </x:c>
      <x:c r="E9" s="23"/>
      <x:c r="F9" s="23"/>
      <x:c r="G9" s="23"/>
      <x:c r="H9" s="23"/>
    </x:row>
    <x:row r="10" ht="52" customHeight="1">
      <x:c r="A10" s="20" t="str">
        <x:v>BrainAGE_S (cohort age-trend adjusted BAG)</x:v>
      </x:c>
      <x:c r="B10" s="20"/>
      <x:c r="C10" s="20"/>
      <x:c r="D10" s="23" t="str">
        <x:v>CentileBrain panel-adjusted BAG - cohort slope * (age - cohort mean age). Own eligible cohort; preserves its mean.</x:v>
      </x:c>
      <x:c r="E10" s="23"/>
      <x:c r="F10" s="23"/>
      <x:c r="G10" s="23"/>
      <x:c r="H10" s="23"/>
    </x:row>
    <x:row r="11" ht="52" customHeight="1">
      <x:c r="A11" s="20" t="str">
        <x:v>MAE</x:v>
      </x:c>
      <x:c r="B11" s="20"/>
      <x:c r="C11" s="20"/>
      <x:c r="D11" s="23" t="str">
        <x:v>Mean absolute BAG across the whole age panel. Not an average of segment MAEs.</x:v>
      </x:c>
      <x:c r="E11" s="23"/>
      <x:c r="F11" s="23"/>
      <x:c r="G11" s="23"/>
      <x:c r="H11" s="23"/>
    </x:row>
    <x:row r="12" ht="52" customHeight="1">
      <x:c r="A12" s="20" t="str">
        <x:v>Age panels</x:v>
      </x:c>
      <x:c r="B12" s="20"/>
      <x:c r="C12" s="20"/>
      <x:c r="D12" s="23" t="str">
        <x:v>5 &lt;= age &lt;= 40; 40 &lt; age &lt;= 90. Internal bins left-closed, right-open; final endpoint included.</x:v>
      </x:c>
      <x:c r="E12" s="23"/>
      <x:c r="F12" s="23"/>
      <x:c r="G12" s="23"/>
      <x:c r="H12" s="23"/>
    </x:row>
    <x:row r="13" ht="52" customHeight="1">
      <x:c r="A13" s="20" t="str">
        <x:v>10-year bins</x:v>
      </x:c>
      <x:c r="B13" s="20"/>
      <x:c r="C13" s="20"/>
      <x:c r="D13" s="23" t="str">
        <x:v>5-15, 15-25, 25-35, 35-40; 40-50 through 80-90. 5-year bins start at 5 and 40.</x:v>
      </x:c>
      <x:c r="E13" s="23"/>
      <x:c r="F13" s="23"/>
      <x:c r="G13" s="23"/>
      <x:c r="H13" s="23"/>
    </x:row>
    <x:row r="14" ht="52" customHeight="1">
      <x:c r="A14" s="20" t="str">
        <x:v>Unsupported bin</x:v>
      </x:c>
      <x:c r="B14" s="20"/>
      <x:c r="C14" s="20"/>
      <x:c r="D14" s="23" t="str">
        <x:v>No correction without &gt;=3 training rows and &gt;=2 distinct ages. Unavailable values remain blank.</x:v>
      </x:c>
      <x:c r="E14" s="23"/>
      <x:c r="F14" s="23"/>
      <x:c r="G14" s="23"/>
      <x:c r="H14" s="23"/>
    </x:row>
    <x:row r="15" ht="52" customHeight="1">
      <x:c r="A15" s="20" t="str">
        <x:v>Extrapolation</x:v>
      </x:c>
      <x:c r="B15" s="20"/>
      <x:c r="C15" s="20"/>
      <x:c r="D15" s="23" t="str">
        <x:v>Apply within the bin; flag beyond observed training age support. See participant flags and coverage below.</x:v>
      </x:c>
      <x:c r="E15" s="23"/>
      <x:c r="F15" s="23"/>
      <x:c r="G15" s="23"/>
      <x:c r="H15" s="23"/>
    </x:row>
    <x:row r="16" ht="52" customHeight="1">
      <x:c r="A16" s="20" t="str">
        <x:v>Comparison</x:v>
      </x:c>
      <x:c r="B16" s="20"/>
      <x:c r="C16" s="20"/>
      <x:c r="D16" s="23" t="str">
        <x:v>Shared eligible participants across five methods. Available statistics retain method-specific populations.</x:v>
      </x:c>
      <x:c r="E16" s="23"/>
      <x:c r="F16" s="23"/>
      <x:c r="G16" s="23"/>
      <x:c r="H16" s="23"/>
    </x:row>
    <x:row r="17" ht="52" customHeight="1">
      <x:c r="A17" s="20" t="str">
        <x:v>Interpretation</x:v>
      </x:c>
      <x:c r="B17" s="20"/>
      <x:c r="C17" s="20"/>
      <x:c r="D17" s="23" t="str">
        <x:v>Descriptive adjusted BAG; lower MAE does not establish predictive improvement. The fitted MRI prediction model is not part of this repository.</x:v>
      </x:c>
      <x:c r="E17" s="23"/>
      <x:c r="F17" s="23"/>
      <x:c r="G17" s="23"/>
      <x:c r="H17" s="23"/>
    </x:row>
    <x:row r="21" ht="38" customHeight="1">
      <x:c r="A21" s="9" t="str">
        <x:v>Group</x:v>
      </x:c>
      <x:c r="B21" s="9" t="str">
        <x:v>Sex</x:v>
      </x:c>
      <x:c r="C21" s="9" t="str">
        <x:v>Age panel</x:v>
      </x:c>
      <x:c r="D21" s="9" t="str">
        <x:v>Status</x:v>
      </x:c>
      <x:c r="E21" s="9" t="str">
        <x:v>Input N</x:v>
      </x:c>
      <x:c r="F21" s="9" t="str">
        <x:v>Matched N</x:v>
      </x:c>
      <x:c r="G21" s="9" t="str">
        <x:v>Invalid age N</x:v>
      </x:c>
      <x:c r="H21" s="9" t="str">
        <x:v>Unmatched source N</x:v>
      </x:c>
    </x:row>
    <x:row r="22" ht="21" customHeight="1">
      <x:c r="A22" s="10" t="str">
        <x:v>Black</x:v>
      </x:c>
      <x:c r="B22" s="10" t="str">
        <x:v>Female</x:v>
      </x:c>
      <x:c r="C22" s="10" t="str">
        <x:v>5-40</x:v>
      </x:c>
      <x:c r="D22" s="10" t="str">
        <x:v>missing_panel</x:v>
      </x:c>
      <x:c r="E22" s="12" t="n">
        <x:v>0</x:v>
      </x:c>
      <x:c r="F22" s="12" t="n">
        <x:v>0</x:v>
      </x:c>
      <x:c r="G22" s="12"/>
      <x:c r="H22" s="12"/>
    </x:row>
    <x:row r="23" ht="21" customHeight="1">
      <x:c r="A23" s="10" t="str">
        <x:v>Black</x:v>
      </x:c>
      <x:c r="B23" s="10" t="str">
        <x:v>Female</x:v>
      </x:c>
      <x:c r="C23" s="10" t="str">
        <x:v>40-90</x:v>
      </x:c>
      <x:c r="D23" s="10" t="str">
        <x:v>available</x:v>
      </x:c>
      <x:c r="E23" s="12" t="n">
        <x:v>159</x:v>
      </x:c>
      <x:c r="F23" s="12" t="n">
        <x:v>159</x:v>
      </x:c>
      <x:c r="G23" s="12" t="n">
        <x:v>0</x:v>
      </x:c>
      <x:c r="H23" s="12" t="n">
        <x:v>0</x:v>
      </x:c>
    </x:row>
    <x:row r="24" ht="21" customHeight="1">
      <x:c r="A24" s="10" t="str">
        <x:v>Black</x:v>
      </x:c>
      <x:c r="B24" s="10" t="str">
        <x:v>Male</x:v>
      </x:c>
      <x:c r="C24" s="10" t="str">
        <x:v>5-40</x:v>
      </x:c>
      <x:c r="D24" s="10" t="str">
        <x:v>missing_panel</x:v>
      </x:c>
      <x:c r="E24" s="12" t="n">
        <x:v>0</x:v>
      </x:c>
      <x:c r="F24" s="12" t="n">
        <x:v>0</x:v>
      </x:c>
      <x:c r="G24" s="12"/>
      <x:c r="H24" s="12"/>
    </x:row>
    <x:row r="25" ht="21" customHeight="1">
      <x:c r="A25" s="10" t="str">
        <x:v>Black</x:v>
      </x:c>
      <x:c r="B25" s="10" t="str">
        <x:v>Male</x:v>
      </x:c>
      <x:c r="C25" s="10" t="str">
        <x:v>40-90</x:v>
      </x:c>
      <x:c r="D25" s="10" t="str">
        <x:v>available</x:v>
      </x:c>
      <x:c r="E25" s="12" t="n">
        <x:v>125</x:v>
      </x:c>
      <x:c r="F25" s="12" t="n">
        <x:v>125</x:v>
      </x:c>
      <x:c r="G25" s="12" t="n">
        <x:v>0</x:v>
      </x:c>
      <x:c r="H25" s="12" t="n">
        <x:v>0</x:v>
      </x:c>
    </x:row>
    <x:row r="26" ht="21" customHeight="1">
      <x:c r="A26" s="10" t="str">
        <x:v>Chilean</x:v>
      </x:c>
      <x:c r="B26" s="10" t="str">
        <x:v>Female</x:v>
      </x:c>
      <x:c r="C26" s="10" t="str">
        <x:v>5-40</x:v>
      </x:c>
      <x:c r="D26" s="10" t="str">
        <x:v>available</x:v>
      </x:c>
      <x:c r="E26" s="12" t="n">
        <x:v>27</x:v>
      </x:c>
      <x:c r="F26" s="12" t="n">
        <x:v>27</x:v>
      </x:c>
      <x:c r="G26" s="12" t="n">
        <x:v>0</x:v>
      </x:c>
      <x:c r="H26" s="12" t="n">
        <x:v>0</x:v>
      </x:c>
    </x:row>
    <x:row r="27" ht="21" customHeight="1">
      <x:c r="A27" s="10" t="str">
        <x:v>Chilean</x:v>
      </x:c>
      <x:c r="B27" s="10" t="str">
        <x:v>Female</x:v>
      </x:c>
      <x:c r="C27" s="10" t="str">
        <x:v>40-90</x:v>
      </x:c>
      <x:c r="D27" s="10" t="str">
        <x:v>missing_panel</x:v>
      </x:c>
      <x:c r="E27" s="12" t="n">
        <x:v>0</x:v>
      </x:c>
      <x:c r="F27" s="12" t="n">
        <x:v>0</x:v>
      </x:c>
      <x:c r="G27" s="12"/>
      <x:c r="H27" s="12"/>
    </x:row>
    <x:row r="28" ht="21" customHeight="1">
      <x:c r="A28" s="10" t="str">
        <x:v>Chilean</x:v>
      </x:c>
      <x:c r="B28" s="10" t="str">
        <x:v>Male</x:v>
      </x:c>
      <x:c r="C28" s="10" t="str">
        <x:v>5-40</x:v>
      </x:c>
      <x:c r="D28" s="10" t="str">
        <x:v>available</x:v>
      </x:c>
      <x:c r="E28" s="12" t="n">
        <x:v>56</x:v>
      </x:c>
      <x:c r="F28" s="12" t="n">
        <x:v>56</x:v>
      </x:c>
      <x:c r="G28" s="12" t="n">
        <x:v>0</x:v>
      </x:c>
      <x:c r="H28" s="12" t="n">
        <x:v>0</x:v>
      </x:c>
    </x:row>
    <x:row r="29" ht="21" customHeight="1">
      <x:c r="A29" s="10" t="str">
        <x:v>Chilean</x:v>
      </x:c>
      <x:c r="B29" s="10" t="str">
        <x:v>Male</x:v>
      </x:c>
      <x:c r="C29" s="10" t="str">
        <x:v>40-90</x:v>
      </x:c>
      <x:c r="D29" s="10" t="str">
        <x:v>missing_panel</x:v>
      </x:c>
      <x:c r="E29" s="12" t="n">
        <x:v>0</x:v>
      </x:c>
      <x:c r="F29" s="12" t="n">
        <x:v>0</x:v>
      </x:c>
      <x:c r="G29" s="12"/>
      <x:c r="H29" s="12"/>
    </x:row>
    <x:row r="30" ht="21" customHeight="1">
      <x:c r="A30" s="10" t="str">
        <x:v>Chinese</x:v>
      </x:c>
      <x:c r="B30" s="10" t="str">
        <x:v>Female</x:v>
      </x:c>
      <x:c r="C30" s="10" t="str">
        <x:v>5-40</x:v>
      </x:c>
      <x:c r="D30" s="10" t="str">
        <x:v>available</x:v>
      </x:c>
      <x:c r="E30" s="12" t="n">
        <x:v>547</x:v>
      </x:c>
      <x:c r="F30" s="12" t="n">
        <x:v>547</x:v>
      </x:c>
      <x:c r="G30" s="12" t="n">
        <x:v>0</x:v>
      </x:c>
      <x:c r="H30" s="12" t="n">
        <x:v>0</x:v>
      </x:c>
    </x:row>
    <x:row r="31" ht="21" customHeight="1">
      <x:c r="A31" s="10" t="str">
        <x:v>Chinese</x:v>
      </x:c>
      <x:c r="B31" s="10" t="str">
        <x:v>Female</x:v>
      </x:c>
      <x:c r="C31" s="10" t="str">
        <x:v>40-90</x:v>
      </x:c>
      <x:c r="D31" s="10" t="str">
        <x:v>available</x:v>
      </x:c>
      <x:c r="E31" s="12" t="n">
        <x:v>326</x:v>
      </x:c>
      <x:c r="F31" s="12" t="n">
        <x:v>324</x:v>
      </x:c>
      <x:c r="G31" s="12" t="n">
        <x:v>2</x:v>
      </x:c>
      <x:c r="H31" s="12" t="n">
        <x:v>0</x:v>
      </x:c>
    </x:row>
    <x:row r="32" ht="21" customHeight="1">
      <x:c r="A32" s="10" t="str">
        <x:v>Chinese</x:v>
      </x:c>
      <x:c r="B32" s="10" t="str">
        <x:v>Male</x:v>
      </x:c>
      <x:c r="C32" s="10" t="str">
        <x:v>5-40</x:v>
      </x:c>
      <x:c r="D32" s="10" t="str">
        <x:v>available</x:v>
      </x:c>
      <x:c r="E32" s="12" t="n">
        <x:v>418</x:v>
      </x:c>
      <x:c r="F32" s="12" t="n">
        <x:v>418</x:v>
      </x:c>
      <x:c r="G32" s="12" t="n">
        <x:v>0</x:v>
      </x:c>
      <x:c r="H32" s="12" t="n">
        <x:v>0</x:v>
      </x:c>
    </x:row>
    <x:row r="33" ht="21" customHeight="1">
      <x:c r="A33" s="10" t="str">
        <x:v>Chinese</x:v>
      </x:c>
      <x:c r="B33" s="10" t="str">
        <x:v>Male</x:v>
      </x:c>
      <x:c r="C33" s="10" t="str">
        <x:v>40-90</x:v>
      </x:c>
      <x:c r="D33" s="10" t="str">
        <x:v>available</x:v>
      </x:c>
      <x:c r="E33" s="12" t="n">
        <x:v>198</x:v>
      </x:c>
      <x:c r="F33" s="12" t="n">
        <x:v>194</x:v>
      </x:c>
      <x:c r="G33" s="12" t="n">
        <x:v>4</x:v>
      </x:c>
      <x:c r="H33" s="12" t="n">
        <x:v>0</x:v>
      </x:c>
    </x:row>
    <x:row r="34" ht="21" customHeight="1">
      <x:c r="A34" s="10" t="str">
        <x:v>Japanese</x:v>
      </x:c>
      <x:c r="B34" s="10" t="str">
        <x:v>Female</x:v>
      </x:c>
      <x:c r="C34" s="10" t="str">
        <x:v>5-40</x:v>
      </x:c>
      <x:c r="D34" s="10" t="str">
        <x:v>available</x:v>
      </x:c>
      <x:c r="E34" s="12" t="n">
        <x:v>216</x:v>
      </x:c>
      <x:c r="F34" s="12" t="n">
        <x:v>216</x:v>
      </x:c>
      <x:c r="G34" s="12" t="n">
        <x:v>0</x:v>
      </x:c>
      <x:c r="H34" s="12" t="n">
        <x:v>0</x:v>
      </x:c>
    </x:row>
    <x:row r="35" ht="21" customHeight="1">
      <x:c r="A35" s="10" t="str">
        <x:v>Japanese</x:v>
      </x:c>
      <x:c r="B35" s="10" t="str">
        <x:v>Female</x:v>
      </x:c>
      <x:c r="C35" s="10" t="str">
        <x:v>40-90</x:v>
      </x:c>
      <x:c r="D35" s="10" t="str">
        <x:v>available</x:v>
      </x:c>
      <x:c r="E35" s="12" t="n">
        <x:v>187</x:v>
      </x:c>
      <x:c r="F35" s="12" t="n">
        <x:v>187</x:v>
      </x:c>
      <x:c r="G35" s="12" t="n">
        <x:v>0</x:v>
      </x:c>
      <x:c r="H35" s="12" t="n">
        <x:v>0</x:v>
      </x:c>
    </x:row>
    <x:row r="36" ht="21" customHeight="1">
      <x:c r="A36" s="10" t="str">
        <x:v>Japanese</x:v>
      </x:c>
      <x:c r="B36" s="10" t="str">
        <x:v>Male</x:v>
      </x:c>
      <x:c r="C36" s="10" t="str">
        <x:v>5-40</x:v>
      </x:c>
      <x:c r="D36" s="10" t="str">
        <x:v>available</x:v>
      </x:c>
      <x:c r="E36" s="12" t="n">
        <x:v>389</x:v>
      </x:c>
      <x:c r="F36" s="12" t="n">
        <x:v>389</x:v>
      </x:c>
      <x:c r="G36" s="12" t="n">
        <x:v>0</x:v>
      </x:c>
      <x:c r="H36" s="12" t="n">
        <x:v>0</x:v>
      </x:c>
    </x:row>
    <x:row r="37" ht="21" customHeight="1">
      <x:c r="A37" s="10" t="str">
        <x:v>Japanese</x:v>
      </x:c>
      <x:c r="B37" s="10" t="str">
        <x:v>Male</x:v>
      </x:c>
      <x:c r="C37" s="10" t="str">
        <x:v>40-90</x:v>
      </x:c>
      <x:c r="D37" s="10" t="str">
        <x:v>available</x:v>
      </x:c>
      <x:c r="E37" s="12" t="n">
        <x:v>128</x:v>
      </x:c>
      <x:c r="F37" s="12" t="n">
        <x:v>128</x:v>
      </x:c>
      <x:c r="G37" s="12" t="n">
        <x:v>0</x:v>
      </x:c>
      <x:c r="H37" s="12" t="n">
        <x:v>0</x:v>
      </x:c>
    </x:row>
    <x:row r="38" ht="21" customHeight="1">
      <x:c r="A38" s="10" t="str">
        <x:v>Mexican</x:v>
      </x:c>
      <x:c r="B38" s="10" t="str">
        <x:v>Female</x:v>
      </x:c>
      <x:c r="C38" s="10" t="str">
        <x:v>5-40</x:v>
      </x:c>
      <x:c r="D38" s="10" t="str">
        <x:v>available</x:v>
      </x:c>
      <x:c r="E38" s="12" t="n">
        <x:v>106</x:v>
      </x:c>
      <x:c r="F38" s="12" t="n">
        <x:v>106</x:v>
      </x:c>
      <x:c r="G38" s="12" t="n">
        <x:v>0</x:v>
      </x:c>
      <x:c r="H38" s="12" t="n">
        <x:v>0</x:v>
      </x:c>
    </x:row>
    <x:row r="39" ht="21" customHeight="1">
      <x:c r="A39" s="10" t="str">
        <x:v>Mexican</x:v>
      </x:c>
      <x:c r="B39" s="10" t="str">
        <x:v>Female</x:v>
      </x:c>
      <x:c r="C39" s="10" t="str">
        <x:v>40-90</x:v>
      </x:c>
      <x:c r="D39" s="10" t="str">
        <x:v>available</x:v>
      </x:c>
      <x:c r="E39" s="12" t="n">
        <x:v>31</x:v>
      </x:c>
      <x:c r="F39" s="12" t="n">
        <x:v>31</x:v>
      </x:c>
      <x:c r="G39" s="12" t="n">
        <x:v>0</x:v>
      </x:c>
      <x:c r="H39" s="12" t="n">
        <x:v>0</x:v>
      </x:c>
    </x:row>
    <x:row r="40" ht="21" customHeight="1">
      <x:c r="A40" s="10" t="str">
        <x:v>Mexican</x:v>
      </x:c>
      <x:c r="B40" s="10" t="str">
        <x:v>Male</x:v>
      </x:c>
      <x:c r="C40" s="10" t="str">
        <x:v>5-40</x:v>
      </x:c>
      <x:c r="D40" s="10" t="str">
        <x:v>available</x:v>
      </x:c>
      <x:c r="E40" s="12" t="n">
        <x:v>164</x:v>
      </x:c>
      <x:c r="F40" s="12" t="n">
        <x:v>164</x:v>
      </x:c>
      <x:c r="G40" s="12" t="n">
        <x:v>0</x:v>
      </x:c>
      <x:c r="H40" s="12" t="n">
        <x:v>0</x:v>
      </x:c>
    </x:row>
    <x:row r="41" ht="21" customHeight="1">
      <x:c r="A41" s="10" t="str">
        <x:v>Mexican</x:v>
      </x:c>
      <x:c r="B41" s="10" t="str">
        <x:v>Male</x:v>
      </x:c>
      <x:c r="C41" s="10" t="str">
        <x:v>40-90</x:v>
      </x:c>
      <x:c r="D41" s="10" t="str">
        <x:v>available</x:v>
      </x:c>
      <x:c r="E41" s="12" t="n">
        <x:v>13</x:v>
      </x:c>
      <x:c r="F41" s="12" t="n">
        <x:v>13</x:v>
      </x:c>
      <x:c r="G41" s="12" t="n">
        <x:v>0</x:v>
      </x:c>
      <x:c r="H41" s="12" t="n">
        <x:v>0</x:v>
      </x:c>
    </x:row>
    <x:row r="42" ht="21" customHeight="1">
      <x:c r="A42" s="10" t="str">
        <x:v>South Asian</x:v>
      </x:c>
      <x:c r="B42" s="10" t="str">
        <x:v>Female</x:v>
      </x:c>
      <x:c r="C42" s="10" t="str">
        <x:v>5-40</x:v>
      </x:c>
      <x:c r="D42" s="10" t="str">
        <x:v>available</x:v>
      </x:c>
      <x:c r="E42" s="12" t="n">
        <x:v>16</x:v>
      </x:c>
      <x:c r="F42" s="12" t="n">
        <x:v>16</x:v>
      </x:c>
      <x:c r="G42" s="12" t="n">
        <x:v>0</x:v>
      </x:c>
      <x:c r="H42" s="12" t="n">
        <x:v>0</x:v>
      </x:c>
    </x:row>
    <x:row r="43" ht="21" customHeight="1">
      <x:c r="A43" s="10" t="str">
        <x:v>South Asian</x:v>
      </x:c>
      <x:c r="B43" s="10" t="str">
        <x:v>Female</x:v>
      </x:c>
      <x:c r="C43" s="10" t="str">
        <x:v>40-90</x:v>
      </x:c>
      <x:c r="D43" s="10" t="str">
        <x:v>available</x:v>
      </x:c>
      <x:c r="E43" s="12" t="n">
        <x:v>144</x:v>
      </x:c>
      <x:c r="F43" s="12" t="n">
        <x:v>144</x:v>
      </x:c>
      <x:c r="G43" s="12" t="n">
        <x:v>0</x:v>
      </x:c>
      <x:c r="H43" s="12" t="n">
        <x:v>0</x:v>
      </x:c>
    </x:row>
    <x:row r="44" ht="21" customHeight="1">
      <x:c r="A44" s="10" t="str">
        <x:v>South Asian</x:v>
      </x:c>
      <x:c r="B44" s="10" t="str">
        <x:v>Male</x:v>
      </x:c>
      <x:c r="C44" s="10" t="str">
        <x:v>5-40</x:v>
      </x:c>
      <x:c r="D44" s="10" t="str">
        <x:v>available</x:v>
      </x:c>
      <x:c r="E44" s="12" t="n">
        <x:v>21</x:v>
      </x:c>
      <x:c r="F44" s="12" t="n">
        <x:v>21</x:v>
      </x:c>
      <x:c r="G44" s="12" t="n">
        <x:v>0</x:v>
      </x:c>
      <x:c r="H44" s="12" t="n">
        <x:v>0</x:v>
      </x:c>
    </x:row>
    <x:row r="45" ht="21" customHeight="1">
      <x:c r="A45" s="10" t="str">
        <x:v>South Asian</x:v>
      </x:c>
      <x:c r="B45" s="10" t="str">
        <x:v>Male</x:v>
      </x:c>
      <x:c r="C45" s="10" t="str">
        <x:v>40-90</x:v>
      </x:c>
      <x:c r="D45" s="10" t="str">
        <x:v>available</x:v>
      </x:c>
      <x:c r="E45" s="12" t="n">
        <x:v>238</x:v>
      </x:c>
      <x:c r="F45" s="12" t="n">
        <x:v>238</x:v>
      </x:c>
      <x:c r="G45" s="12" t="n">
        <x:v>0</x:v>
      </x:c>
      <x:c r="H45" s="12" t="n">
        <x:v>0</x:v>
      </x:c>
    </x:row>
    <x:row r="46" ht="21" customHeight="1">
      <x:c r="A46" s="10" t="str">
        <x:v>Turkish</x:v>
      </x:c>
      <x:c r="B46" s="10" t="str">
        <x:v>Female</x:v>
      </x:c>
      <x:c r="C46" s="10" t="str">
        <x:v>5-40</x:v>
      </x:c>
      <x:c r="D46" s="10" t="str">
        <x:v>available</x:v>
      </x:c>
      <x:c r="E46" s="12" t="n">
        <x:v>268</x:v>
      </x:c>
      <x:c r="F46" s="12" t="n">
        <x:v>268</x:v>
      </x:c>
      <x:c r="G46" s="12" t="n">
        <x:v>0</x:v>
      </x:c>
      <x:c r="H46" s="12" t="n">
        <x:v>0</x:v>
      </x:c>
    </x:row>
    <x:row r="47" ht="21" customHeight="1">
      <x:c r="A47" s="10" t="str">
        <x:v>Turkish</x:v>
      </x:c>
      <x:c r="B47" s="10" t="str">
        <x:v>Female</x:v>
      </x:c>
      <x:c r="C47" s="10" t="str">
        <x:v>40-90</x:v>
      </x:c>
      <x:c r="D47" s="10" t="str">
        <x:v>missing_panel</x:v>
      </x:c>
      <x:c r="E47" s="12" t="n">
        <x:v>0</x:v>
      </x:c>
      <x:c r="F47" s="12" t="n">
        <x:v>0</x:v>
      </x:c>
      <x:c r="G47" s="12"/>
      <x:c r="H47" s="12"/>
    </x:row>
    <x:row r="48" ht="21" customHeight="1">
      <x:c r="A48" s="10" t="str">
        <x:v>Turkish</x:v>
      </x:c>
      <x:c r="B48" s="10" t="str">
        <x:v>Male</x:v>
      </x:c>
      <x:c r="C48" s="10" t="str">
        <x:v>5-40</x:v>
      </x:c>
      <x:c r="D48" s="10" t="str">
        <x:v>available</x:v>
      </x:c>
      <x:c r="E48" s="12" t="n">
        <x:v>154</x:v>
      </x:c>
      <x:c r="F48" s="12" t="n">
        <x:v>154</x:v>
      </x:c>
      <x:c r="G48" s="12" t="n">
        <x:v>0</x:v>
      </x:c>
      <x:c r="H48" s="12" t="n">
        <x:v>0</x:v>
      </x:c>
    </x:row>
    <x:row r="49" ht="21" customHeight="1">
      <x:c r="A49" s="10" t="str">
        <x:v>Turkish</x:v>
      </x:c>
      <x:c r="B49" s="10" t="str">
        <x:v>Male</x:v>
      </x:c>
      <x:c r="C49" s="10" t="str">
        <x:v>40-90</x:v>
      </x:c>
      <x:c r="D49" s="10" t="str">
        <x:v>missing_panel</x:v>
      </x:c>
      <x:c r="E49" s="12" t="n">
        <x:v>0</x:v>
      </x:c>
      <x:c r="F49" s="12" t="n">
        <x:v>0</x:v>
      </x:c>
      <x:c r="G49" s="12"/>
      <x:c r="H49" s="12"/>
    </x:row>
    <x:row r="54" ht="24" customHeight="1">
      <x:c r="A54" s="17" t="str">
        <x:v>Pinned source files</x:v>
      </x:c>
      <x:c r="B54" s="17"/>
      <x:c r="C54" s="17"/>
      <x:c r="D54" s="17"/>
      <x:c r="E54" s="17"/>
      <x:c r="F54" s="17"/>
      <x:c r="G54" s="17"/>
      <x:c r="H54" s="17"/>
    </x:row>
    <x:row r="55" ht="52" customHeight="1">
      <x:c r="A55" s="23" t="str">
        <x:v>training / Training</x:v>
      </x:c>
      <x:c r="B55" s="23" t="str">
        <x:v>Female, 5-40
training_data/training_age1234_female.csv
SHA-256: dc1e4538bd987a97e5b9a3fd6f54626bffe1659359951908b77703276f8520cb</x:v>
      </x:c>
      <x:c r="C55" s="23"/>
      <x:c r="D55" s="23"/>
      <x:c r="E55" s="23"/>
      <x:c r="F55" s="23"/>
      <x:c r="G55" s="23"/>
      <x:c r="H55" s="23"/>
    </x:row>
    <x:row r="56" ht="52" customHeight="1">
      <x:c r="A56" s="23" t="str">
        <x:v>training / Training</x:v>
      </x:c>
      <x:c r="B56" s="23" t="str">
        <x:v>Female, 40-90
training_data/training_age56789_female.csv
SHA-256: 6b344ea87f624eb0776780e7aacce6174ef4f204ac4a518d08fbf4fc138de6ba</x:v>
      </x:c>
      <x:c r="C56" s="23"/>
      <x:c r="D56" s="23"/>
      <x:c r="E56" s="23"/>
      <x:c r="F56" s="23"/>
      <x:c r="G56" s="23"/>
      <x:c r="H56" s="23"/>
    </x:row>
    <x:row r="57" ht="52" customHeight="1">
      <x:c r="A57" s="23" t="str">
        <x:v>training / Training</x:v>
      </x:c>
      <x:c r="B57" s="23" t="str">
        <x:v>Male, 5-40
training_data/training_age1234_male.csv
SHA-256: 4b5cb05c8b3044c6074aa8dc363e6526776bef111d0b0438ea6bb6ad415cd140</x:v>
      </x:c>
      <x:c r="C57" s="23"/>
      <x:c r="D57" s="23"/>
      <x:c r="E57" s="23"/>
      <x:c r="F57" s="23"/>
      <x:c r="G57" s="23"/>
      <x:c r="H57" s="23"/>
    </x:row>
    <x:row r="58" ht="52" customHeight="1">
      <x:c r="A58" s="23" t="str">
        <x:v>training / Training</x:v>
      </x:c>
      <x:c r="B58" s="23" t="str">
        <x:v>Male, 40-90
training_data/training_age56789_male.csv
SHA-256: 2917caf63c6ffb40e29e29414252bd2a2fa3a198066c7b087b824248e1079b66</x:v>
      </x:c>
      <x:c r="C58" s="23"/>
      <x:c r="D58" s="23"/>
      <x:c r="E58" s="23"/>
      <x:c r="F58" s="23"/>
      <x:c r="G58" s="23"/>
      <x:c r="H58" s="23"/>
    </x:row>
    <x:row r="59" ht="52" customHeight="1">
      <x:c r="A59" s="23" t="str">
        <x:v>self_black / Raw</x:v>
      </x:c>
      <x:c r="B59" s="23" t="str">
        <x:v>Female, 40-90
ethnoracial_data_outputs/self_black/Female_40-90/output_file_2026-06-29-00-57-30_MR_predicted_age_female.csv
SHA-256: f0d1e224c3249d643f90ac321f1d389b0774b8281bc126cd0485ad8a5feafbe8</x:v>
      </x:c>
      <x:c r="C59" s="23"/>
      <x:c r="D59" s="23"/>
      <x:c r="E59" s="23"/>
      <x:c r="F59" s="23"/>
      <x:c r="G59" s="23"/>
      <x:c r="H59" s="23"/>
    </x:row>
    <x:row r="60" ht="52" customHeight="1">
      <x:c r="A60" s="23" t="str">
        <x:v>self_black / CentileBrain</x:v>
      </x:c>
      <x:c r="B60" s="23" t="str">
        <x:v>Female, 40-90
ethnoracial_data_outputs/self_black/Female_40-90/output_file_2026-06-29-00-57-30_Adjusted_BrainAGE_female.csv
SHA-256: 4050019fdcfd07951b79f2cfcb657ec7d29b1529ffabba1b53ed4e5d6e2f6c72</x:v>
      </x:c>
      <x:c r="C60" s="23"/>
      <x:c r="D60" s="23"/>
      <x:c r="E60" s="23"/>
      <x:c r="F60" s="23"/>
      <x:c r="G60" s="23"/>
      <x:c r="H60" s="23"/>
    </x:row>
    <x:row r="61" ht="52" customHeight="1">
      <x:c r="A61" s="23" t="str">
        <x:v>self_black / Raw</x:v>
      </x:c>
      <x:c r="B61" s="23" t="str">
        <x:v>Male, 40-90
ethnoracial_data_outputs/self_black/Male_40-90/output_file_2026-06-29-01-00-41_MR_predicted_age_male.csv
SHA-256: c31e1fd8a70fbb6aebb355a709103a08517b731245692da35bb40b7276bd2870</x:v>
      </x:c>
      <x:c r="C61" s="23"/>
      <x:c r="D61" s="23"/>
      <x:c r="E61" s="23"/>
      <x:c r="F61" s="23"/>
      <x:c r="G61" s="23"/>
      <x:c r="H61" s="23"/>
    </x:row>
    <x:row r="62" ht="52" customHeight="1">
      <x:c r="A62" s="23" t="str">
        <x:v>self_black / CentileBrain</x:v>
      </x:c>
      <x:c r="B62" s="23" t="str">
        <x:v>Male, 40-90
ethnoracial_data_outputs/self_black/Male_40-90/output_file_2026-06-29-01-00-41_Adjusted_BrainAGE_male.csv
SHA-256: 3237eb055ec9d3474a58fb9f0ef19cc324d6f12272dacde8c9160bc4d23316cf</x:v>
      </x:c>
      <x:c r="C62" s="23"/>
      <x:c r="D62" s="23"/>
      <x:c r="E62" s="23"/>
      <x:c r="F62" s="23"/>
      <x:c r="G62" s="23"/>
      <x:c r="H62" s="23"/>
    </x:row>
    <x:row r="63" ht="52" customHeight="1">
      <x:c r="A63" s="23" t="str">
        <x:v>self_chilean / Raw</x:v>
      </x:c>
      <x:c r="B63" s="23" t="str">
        <x:v>Female, 5-40
ethnoracial_data_outputs/self_chilean/Female_5-40/output_file_2026-06-29-01-02-15_MR_predicted_age_female.csv
SHA-256: 524e24828e57311da44a2673523ecc6d44c75662e0de259035cb519211a3158c</x:v>
      </x:c>
      <x:c r="C63" s="23"/>
      <x:c r="D63" s="23"/>
      <x:c r="E63" s="23"/>
      <x:c r="F63" s="23"/>
      <x:c r="G63" s="23"/>
      <x:c r="H63" s="23"/>
    </x:row>
    <x:row r="64" ht="52" customHeight="1">
      <x:c r="A64" s="23" t="str">
        <x:v>self_chilean / CentileBrain</x:v>
      </x:c>
      <x:c r="B64" s="23" t="str">
        <x:v>Female, 5-40
ethnoracial_data_outputs/self_chilean/Female_5-40/output_file_2026-06-29-01-02-15_Adjusted_BrainAGE_female.csv
SHA-256: d147825136a346f78d716f9487f6c379e8173060d9224280d85017184cdf3519</x:v>
      </x:c>
      <x:c r="C64" s="23"/>
      <x:c r="D64" s="23"/>
      <x:c r="E64" s="23"/>
      <x:c r="F64" s="23"/>
      <x:c r="G64" s="23"/>
      <x:c r="H64" s="23"/>
    </x:row>
    <x:row r="65" ht="52" customHeight="1">
      <x:c r="A65" s="23" t="str">
        <x:v>self_chilean / Raw</x:v>
      </x:c>
      <x:c r="B65" s="23" t="str">
        <x:v>Male, 5-40
ethnoracial_data_outputs/self_chilean/Male_5-40/output_file_2026-06-29-01-03-22_MR_predicted_age_male.csv
SHA-256: f58c53fde00a7fa3ae9803eaf69d8f3951be4f80d85906fc4073fbe0e64622ba</x:v>
      </x:c>
      <x:c r="C65" s="23"/>
      <x:c r="D65" s="23"/>
      <x:c r="E65" s="23"/>
      <x:c r="F65" s="23"/>
      <x:c r="G65" s="23"/>
      <x:c r="H65" s="23"/>
    </x:row>
    <x:row r="66" ht="52" customHeight="1">
      <x:c r="A66" s="23" t="str">
        <x:v>self_chilean / CentileBrain</x:v>
      </x:c>
      <x:c r="B66" s="23" t="str">
        <x:v>Male, 5-40
ethnoracial_data_outputs/self_chilean/Male_5-40/output_file_2026-06-29-01-03-22_Adjusted_BrainAGE_male.csv
SHA-256: 88243bedc7c77f512a3a3331586111b8dc167660d2c5cbf2d1f3b812aa51eaa2</x:v>
      </x:c>
      <x:c r="C66" s="23"/>
      <x:c r="D66" s="23"/>
      <x:c r="E66" s="23"/>
      <x:c r="F66" s="23"/>
      <x:c r="G66" s="23"/>
      <x:c r="H66" s="23"/>
    </x:row>
    <x:row r="67" ht="52" customHeight="1">
      <x:c r="A67" s="23" t="str">
        <x:v>self_chinese / Raw</x:v>
      </x:c>
      <x:c r="B67" s="23" t="str">
        <x:v>Female, 5-40
ethnoracial_data_outputs/self_chinese/Female_5-40/output_file_2026-08-19-00-06-48_MR_predicted_age_female.csv
SHA-256: e080eee136810c220d8a6701e9e7b148bf6c207cae490752eb6f5f4efc72dcc9</x:v>
      </x:c>
      <x:c r="C67" s="23"/>
      <x:c r="D67" s="23"/>
      <x:c r="E67" s="23"/>
      <x:c r="F67" s="23"/>
      <x:c r="G67" s="23"/>
      <x:c r="H67" s="23"/>
    </x:row>
    <x:row r="68" ht="52" customHeight="1">
      <x:c r="A68" s="23" t="str">
        <x:v>self_chinese / CentileBrain</x:v>
      </x:c>
      <x:c r="B68" s="23" t="str">
        <x:v>Female, 5-40
ethnoracial_data_outputs/self_chinese/Female_5-40/output_file_2026-08-19-00-06-48_Adjusted_BrainAGE_female.csv
SHA-256: 0e4dff755850ffbf24b13ca3d7b1ccdd4d857e750b971d2c32f199d983e4aed0</x:v>
      </x:c>
      <x:c r="C68" s="23"/>
      <x:c r="D68" s="23"/>
      <x:c r="E68" s="23"/>
      <x:c r="F68" s="23"/>
      <x:c r="G68" s="23"/>
      <x:c r="H68" s="23"/>
    </x:row>
    <x:row r="69" ht="52" customHeight="1">
      <x:c r="A69" s="23" t="str">
        <x:v>self_chinese / Raw</x:v>
      </x:c>
      <x:c r="B69" s="23" t="str">
        <x:v>Female, 40-90
ethnoracial_data_outputs/self_chinese/Female_40-90/output_file_2026-08-19-00-08-18_MR_predicted_age_female.csv
SHA-256: ef3c4c59174ba6e9294675333a0664892ff755e83b9cd47f8d3dc952b29a8685</x:v>
      </x:c>
      <x:c r="C69" s="23"/>
      <x:c r="D69" s="23"/>
      <x:c r="E69" s="23"/>
      <x:c r="F69" s="23"/>
      <x:c r="G69" s="23"/>
      <x:c r="H69" s="23"/>
    </x:row>
    <x:row r="70" ht="52" customHeight="1">
      <x:c r="A70" s="23" t="str">
        <x:v>self_chinese / CentileBrain</x:v>
      </x:c>
      <x:c r="B70" s="23" t="str">
        <x:v>Female, 40-90
ethnoracial_data_outputs/self_chinese/Female_40-90/output_file_2026-08-19-00-08-18_Adjusted_BrainAGE_female.csv
SHA-256: 8d8fce18fdc3ca8fee58f3d7647985091525b02d0157107fdef0924b99e2a582</x:v>
      </x:c>
      <x:c r="C70" s="23"/>
      <x:c r="D70" s="23"/>
      <x:c r="E70" s="23"/>
      <x:c r="F70" s="23"/>
      <x:c r="G70" s="23"/>
      <x:c r="H70" s="23"/>
    </x:row>
    <x:row r="71" ht="52" customHeight="1">
      <x:c r="A71" s="23" t="str">
        <x:v>self_chinese / Raw</x:v>
      </x:c>
      <x:c r="B71" s="23" t="str">
        <x:v>Male, 5-40
ethnoracial_data_outputs/self_chinese/Male_5-40/output_file_2026-08-19-00-31-35_MR_predicted_age_male.csv
SHA-256: b1733f225c315130346e0ac5798e7e1365efa1cf3ab958726e195efa3b769d0b</x:v>
      </x:c>
      <x:c r="C71" s="23"/>
      <x:c r="D71" s="23"/>
      <x:c r="E71" s="23"/>
      <x:c r="F71" s="23"/>
      <x:c r="G71" s="23"/>
      <x:c r="H71" s="23"/>
    </x:row>
    <x:row r="72" ht="52" customHeight="1">
      <x:c r="A72" s="23" t="str">
        <x:v>self_chinese / CentileBrain</x:v>
      </x:c>
      <x:c r="B72" s="23" t="str">
        <x:v>Male, 5-40
ethnoracial_data_outputs/self_chinese/Male_5-40/output_file_2026-08-19-00-31-35_Adjusted_BrainAGE_male.csv
SHA-256: d599dbc9cbf64a0366bdc2a820ec89d7570bc684bc572735dd02e35fe73bed28</x:v>
      </x:c>
      <x:c r="C72" s="23"/>
      <x:c r="D72" s="23"/>
      <x:c r="E72" s="23"/>
      <x:c r="F72" s="23"/>
      <x:c r="G72" s="23"/>
      <x:c r="H72" s="23"/>
    </x:row>
    <x:row r="73" ht="52" customHeight="1">
      <x:c r="A73" s="23" t="str">
        <x:v>self_chinese / Raw</x:v>
      </x:c>
      <x:c r="B73" s="23" t="str">
        <x:v>Male, 40-90
ethnoracial_data_outputs/self_chinese/Male_40-90/output_file_2026-08-19-00-04-54_MR_predicted_age_male.csv
SHA-256: 02cf7342c05191c5c7a2fbfa36c97c0d92a5eef7b4a554a5d9f84c1c90790850</x:v>
      </x:c>
      <x:c r="C73" s="23"/>
      <x:c r="D73" s="23"/>
      <x:c r="E73" s="23"/>
      <x:c r="F73" s="23"/>
      <x:c r="G73" s="23"/>
      <x:c r="H73" s="23"/>
    </x:row>
    <x:row r="74" ht="52" customHeight="1">
      <x:c r="A74" s="23" t="str">
        <x:v>self_chinese / CentileBrain</x:v>
      </x:c>
      <x:c r="B74" s="23" t="str">
        <x:v>Male, 40-90
ethnoracial_data_outputs/self_chinese/Male_40-90/output_file_2026-08-19-00-04-54_Adjusted_BrainAGE_male.csv
SHA-256: fd8532887c62db041fe7d3d0cd6d10dbcaf20d4fa75c642927e0cc523856e660</x:v>
      </x:c>
      <x:c r="C74" s="23"/>
      <x:c r="D74" s="23"/>
      <x:c r="E74" s="23"/>
      <x:c r="F74" s="23"/>
      <x:c r="G74" s="23"/>
      <x:c r="H74" s="23"/>
    </x:row>
    <x:row r="75" ht="52" customHeight="1">
      <x:c r="A75" s="23" t="str">
        <x:v>self_japanese / Raw</x:v>
      </x:c>
      <x:c r="B75" s="23" t="str">
        <x:v>Female, 5-40
ethnoracial_data_outputs/self_japanese/Female_5-40/output_file_2026-08-18-20-49-44_MR_predicted_age_female.csv
SHA-256: e8c927ab2096881abd9b8ddf5f0e4a5b805ee307d609e2dfdd852584393e9b69</x:v>
      </x:c>
      <x:c r="C75" s="23"/>
      <x:c r="D75" s="23"/>
      <x:c r="E75" s="23"/>
      <x:c r="F75" s="23"/>
      <x:c r="G75" s="23"/>
      <x:c r="H75" s="23"/>
    </x:row>
    <x:row r="76" ht="52" customHeight="1">
      <x:c r="A76" s="23" t="str">
        <x:v>self_japanese / CentileBrain</x:v>
      </x:c>
      <x:c r="B76" s="23" t="str">
        <x:v>Female, 5-40
ethnoracial_data_outputs/self_japanese/Female_5-40/output_file_2026-08-18-20-49-44_Adjusted_BrainAGE_female.csv
SHA-256: e6d0b0399faf2de93f7d032120b5adde277bb9db4aabb7fd2404f6d31c2bdf00</x:v>
      </x:c>
      <x:c r="C76" s="23"/>
      <x:c r="D76" s="23"/>
      <x:c r="E76" s="23"/>
      <x:c r="F76" s="23"/>
      <x:c r="G76" s="23"/>
      <x:c r="H76" s="23"/>
    </x:row>
    <x:row r="77" ht="52" customHeight="1">
      <x:c r="A77" s="23" t="str">
        <x:v>self_japanese / Raw</x:v>
      </x:c>
      <x:c r="B77" s="23" t="str">
        <x:v>Female, 40-90
ethnoracial_data_outputs/self_japanese/Female_40-90/output_file_2026-08-18-20-50-22_MR_predicted_age_female.csv
SHA-256: 47751deab6b3237b15b3671d6c5ae4d97340df3fa5c02ff695064943e011c06f</x:v>
      </x:c>
      <x:c r="C77" s="23"/>
      <x:c r="D77" s="23"/>
      <x:c r="E77" s="23"/>
      <x:c r="F77" s="23"/>
      <x:c r="G77" s="23"/>
      <x:c r="H77" s="23"/>
    </x:row>
    <x:row r="78" ht="52" customHeight="1">
      <x:c r="A78" s="23" t="str">
        <x:v>self_japanese / CentileBrain</x:v>
      </x:c>
      <x:c r="B78" s="23" t="str">
        <x:v>Female, 40-90
ethnoracial_data_outputs/self_japanese/Female_40-90/output_file_2026-08-18-20-50-22_Adjusted_BrainAGE_female.csv
SHA-256: e25a7fb7df44eb1ce94acdd2df1a886444093723396f442f797320043bd82a82</x:v>
      </x:c>
      <x:c r="C78" s="23"/>
      <x:c r="D78" s="23"/>
      <x:c r="E78" s="23"/>
      <x:c r="F78" s="23"/>
      <x:c r="G78" s="23"/>
      <x:c r="H78" s="23"/>
    </x:row>
    <x:row r="79" ht="52" customHeight="1">
      <x:c r="A79" s="23" t="str">
        <x:v>self_japanese / Raw</x:v>
      </x:c>
      <x:c r="B79" s="23" t="str">
        <x:v>Male, 5-40
ethnoracial_data_outputs/self_japanese/Male_5-40/output_file_2026-08-18-20-50-58_MR_predicted_age_male.csv
SHA-256: 629e2cda63d9fe30f5da29ad0dcb2b6effaa3aad09946e9776c592096ed48bb2</x:v>
      </x:c>
      <x:c r="C79" s="23"/>
      <x:c r="D79" s="23"/>
      <x:c r="E79" s="23"/>
      <x:c r="F79" s="23"/>
      <x:c r="G79" s="23"/>
      <x:c r="H79" s="23"/>
    </x:row>
    <x:row r="80" ht="52" customHeight="1">
      <x:c r="A80" s="23" t="str">
        <x:v>self_japanese / CentileBrain</x:v>
      </x:c>
      <x:c r="B80" s="23" t="str">
        <x:v>Male, 5-40
ethnoracial_data_outputs/self_japanese/Male_5-40/output_file_2026-08-18-20-50-58_Adjusted_BrainAGE_male.csv
SHA-256: d94f6fcdc5cbd4d7f084df073880be60b83f691a12503b6b756b49ee6d37c701</x:v>
      </x:c>
      <x:c r="C80" s="23"/>
      <x:c r="D80" s="23"/>
      <x:c r="E80" s="23"/>
      <x:c r="F80" s="23"/>
      <x:c r="G80" s="23"/>
      <x:c r="H80" s="23"/>
    </x:row>
    <x:row r="81" ht="52" customHeight="1">
      <x:c r="A81" s="23" t="str">
        <x:v>self_japanese / Raw</x:v>
      </x:c>
      <x:c r="B81" s="23" t="str">
        <x:v>Male, 40-90
ethnoracial_data_outputs/self_japanese/Male_40-90/output_file_2026-08-18-20-51-44_MR_predicted_age_male.csv
SHA-256: 4cd0e0f9c382ea354a4cf5597b729cd081353c29ffebe149550fcafffe4853dd</x:v>
      </x:c>
      <x:c r="C81" s="23"/>
      <x:c r="D81" s="23"/>
      <x:c r="E81" s="23"/>
      <x:c r="F81" s="23"/>
      <x:c r="G81" s="23"/>
      <x:c r="H81" s="23"/>
    </x:row>
    <x:row r="82" ht="52" customHeight="1">
      <x:c r="A82" s="23" t="str">
        <x:v>self_japanese / CentileBrain</x:v>
      </x:c>
      <x:c r="B82" s="23" t="str">
        <x:v>Male, 40-90
ethnoracial_data_outputs/self_japanese/Male_40-90/output_file_2026-08-18-20-51-44_Adjusted_BrainAGE_male.csv
SHA-256: f592babef851b9040387c81ae1f69a3f4d9651f67ea2adf65cb7a9866cbf31e0</x:v>
      </x:c>
      <x:c r="C82" s="23"/>
      <x:c r="D82" s="23"/>
      <x:c r="E82" s="23"/>
      <x:c r="F82" s="23"/>
      <x:c r="G82" s="23"/>
      <x:c r="H82" s="23"/>
    </x:row>
    <x:row r="83" ht="52" customHeight="1">
      <x:c r="A83" s="23" t="str">
        <x:v>self_mexican / Raw</x:v>
      </x:c>
      <x:c r="B83" s="23" t="str">
        <x:v>Female, 5-40
ethnoracial_data_outputs/self_mexican/Female_5-40/output_file_2026-08-18-20-44-55_MR_predicted_age_female.csv
SHA-256: 53467509d9aac481cf6454400c54d7c0335b4474d07fc1802943d03d76d5462c</x:v>
      </x:c>
      <x:c r="C83" s="23"/>
      <x:c r="D83" s="23"/>
      <x:c r="E83" s="23"/>
      <x:c r="F83" s="23"/>
      <x:c r="G83" s="23"/>
      <x:c r="H83" s="23"/>
    </x:row>
    <x:row r="84" ht="52" customHeight="1">
      <x:c r="A84" s="23" t="str">
        <x:v>self_mexican / CentileBrain</x:v>
      </x:c>
      <x:c r="B84" s="23" t="str">
        <x:v>Female, 5-40
ethnoracial_data_outputs/self_mexican/Female_5-40/output_file_2026-08-18-20-44-55_Adjusted_BrainAGE_female.csv
SHA-256: b35b4d0a994424627d626263cdbc30d765dcfd8057b08d99127be8dfdc21cce4</x:v>
      </x:c>
      <x:c r="C84" s="23"/>
      <x:c r="D84" s="23"/>
      <x:c r="E84" s="23"/>
      <x:c r="F84" s="23"/>
      <x:c r="G84" s="23"/>
      <x:c r="H84" s="23"/>
    </x:row>
    <x:row r="85" ht="52" customHeight="1">
      <x:c r="A85" s="23" t="str">
        <x:v>self_mexican / Raw</x:v>
      </x:c>
      <x:c r="B85" s="23" t="str">
        <x:v>Female, 40-90
ethnoracial_data_outputs/self_mexican/Female_40-90/output_file_2026-08-18-20-47-24_MR_predicted_age_female.csv
SHA-256: 6f040334029143a5a0877246ed31ba2b7a37112129bc5dc4620c3bd3663fb2ad</x:v>
      </x:c>
      <x:c r="C85" s="23"/>
      <x:c r="D85" s="23"/>
      <x:c r="E85" s="23"/>
      <x:c r="F85" s="23"/>
      <x:c r="G85" s="23"/>
      <x:c r="H85" s="23"/>
    </x:row>
    <x:row r="86" ht="52" customHeight="1">
      <x:c r="A86" s="23" t="str">
        <x:v>self_mexican / CentileBrain</x:v>
      </x:c>
      <x:c r="B86" s="23" t="str">
        <x:v>Female, 40-90
ethnoracial_data_outputs/self_mexican/Female_40-90/output_file_2026-08-18-20-47-24_Adjusted_BrainAGE_female.csv
SHA-256: eefaafddf162fbd28fdbb2f51d17be5a2668559cc692ece9208c7a2b466914c1</x:v>
      </x:c>
      <x:c r="C86" s="23"/>
      <x:c r="D86" s="23"/>
      <x:c r="E86" s="23"/>
      <x:c r="F86" s="23"/>
      <x:c r="G86" s="23"/>
      <x:c r="H86" s="23"/>
    </x:row>
    <x:row r="87" ht="52" customHeight="1">
      <x:c r="A87" s="23" t="str">
        <x:v>self_mexican / Raw</x:v>
      </x:c>
      <x:c r="B87" s="23" t="str">
        <x:v>Male, 5-40
ethnoracial_data_outputs/self_mexican/Male_5-40/output_file_2026-08-18-20-48-01_MR_predicted_age_male.csv
SHA-256: 3034a77a10a1b9d84fd629d8c9ba2bbcebbfdc5f6d4f91bd9fd83e00d7cd1ad3</x:v>
      </x:c>
      <x:c r="C87" s="23"/>
      <x:c r="D87" s="23"/>
      <x:c r="E87" s="23"/>
      <x:c r="F87" s="23"/>
      <x:c r="G87" s="23"/>
      <x:c r="H87" s="23"/>
    </x:row>
    <x:row r="88" ht="52" customHeight="1">
      <x:c r="A88" s="23" t="str">
        <x:v>self_mexican / CentileBrain</x:v>
      </x:c>
      <x:c r="B88" s="23" t="str">
        <x:v>Male, 5-40
ethnoracial_data_outputs/self_mexican/Male_5-40/output_file_2026-08-18-20-48-01_Adjusted_BrainAGE_male.csv
SHA-256: 4bfc4abd683ef2f681d198fc4e86ebbfaf99d38831948c5413ebfe32c0eef9a8</x:v>
      </x:c>
      <x:c r="C88" s="23"/>
      <x:c r="D88" s="23"/>
      <x:c r="E88" s="23"/>
      <x:c r="F88" s="23"/>
      <x:c r="G88" s="23"/>
      <x:c r="H88" s="23"/>
    </x:row>
    <x:row r="89" ht="52" customHeight="1">
      <x:c r="A89" s="23" t="str">
        <x:v>self_mexican / Raw</x:v>
      </x:c>
      <x:c r="B89" s="23" t="str">
        <x:v>Male, 40-90
ethnoracial_data_outputs/self_mexican/Male_40-90/output_file_2026-08-18-20-48-57_MR_predicted_age_male.csv
SHA-256: 6097e49c117614f78355251fb9a951f5405af41faffcf2cff4e9e42b95be3e79</x:v>
      </x:c>
      <x:c r="C89" s="23"/>
      <x:c r="D89" s="23"/>
      <x:c r="E89" s="23"/>
      <x:c r="F89" s="23"/>
      <x:c r="G89" s="23"/>
      <x:c r="H89" s="23"/>
    </x:row>
    <x:row r="90" ht="52" customHeight="1">
      <x:c r="A90" s="23" t="str">
        <x:v>self_mexican / CentileBrain</x:v>
      </x:c>
      <x:c r="B90" s="23" t="str">
        <x:v>Male, 40-90
ethnoracial_data_outputs/self_mexican/Male_40-90/output_file_2026-08-18-20-48-57_Adjusted_BrainAGE_male.csv
SHA-256: b74bbf38585be692f89dd149d8ca7670d4a5e49e0fb0d8eaa810369c6392bd9a</x:v>
      </x:c>
      <x:c r="C90" s="23"/>
      <x:c r="D90" s="23"/>
      <x:c r="E90" s="23"/>
      <x:c r="F90" s="23"/>
      <x:c r="G90" s="23"/>
      <x:c r="H90" s="23"/>
    </x:row>
    <x:row r="91" ht="52" customHeight="1">
      <x:c r="A91" s="23" t="str">
        <x:v>self_southasian / Raw</x:v>
      </x:c>
      <x:c r="B91" s="23" t="str">
        <x:v>Female, 5-40
ethnoracial_data_outputs/self_southasian/Female_5-40/output_file_2026-06-29-01-11-24_MR_predicted_age_female.csv
SHA-256: b76e4f0b926469f126c2587e879c872be766c40f87ffe77c31f0b9fd6cf61d9e</x:v>
      </x:c>
      <x:c r="C91" s="23"/>
      <x:c r="D91" s="23"/>
      <x:c r="E91" s="23"/>
      <x:c r="F91" s="23"/>
      <x:c r="G91" s="23"/>
      <x:c r="H91" s="23"/>
    </x:row>
    <x:row r="92" ht="52" customHeight="1">
      <x:c r="A92" s="23" t="str">
        <x:v>self_southasian / CentileBrain</x:v>
      </x:c>
      <x:c r="B92" s="23" t="str">
        <x:v>Female, 5-40
ethnoracial_data_outputs/self_southasian/Female_5-40/output_file_2026-06-29-01-11-24_Adjusted_BrainAGE_female.csv
SHA-256: cbf9af40957671b991c25b8adc525cbc4871006bbba1c308767437528d75f989</x:v>
      </x:c>
      <x:c r="C92" s="23"/>
      <x:c r="D92" s="23"/>
      <x:c r="E92" s="23"/>
      <x:c r="F92" s="23"/>
      <x:c r="G92" s="23"/>
      <x:c r="H92" s="23"/>
    </x:row>
    <x:row r="93" ht="52" customHeight="1">
      <x:c r="A93" s="23" t="str">
        <x:v>self_southasian / Raw</x:v>
      </x:c>
      <x:c r="B93" s="23" t="str">
        <x:v>Female, 40-90
ethnoracial_data_outputs/self_southasian/Female_40-90/output_file_2026-06-29-01-12-05_MR_predicted_age_female.csv
SHA-256: 058c45e08fc742250a7876aca80cdcca05fcae5f48052876213470a1d5d8a820</x:v>
      </x:c>
      <x:c r="C93" s="23"/>
      <x:c r="D93" s="23"/>
      <x:c r="E93" s="23"/>
      <x:c r="F93" s="23"/>
      <x:c r="G93" s="23"/>
      <x:c r="H93" s="23"/>
    </x:row>
    <x:row r="94" ht="52" customHeight="1">
      <x:c r="A94" s="23" t="str">
        <x:v>self_southasian / CentileBrain</x:v>
      </x:c>
      <x:c r="B94" s="23" t="str">
        <x:v>Female, 40-90
ethnoracial_data_outputs/self_southasian/Female_40-90/output_file_2026-06-29-01-12-05_Adjusted_BrainAGE_female.csv
SHA-256: 76d0cf499a4d0f3c066e1b4574231a66ac643bb2272f1685cf61ea0fca1d9d67</x:v>
      </x:c>
      <x:c r="C94" s="23"/>
      <x:c r="D94" s="23"/>
      <x:c r="E94" s="23"/>
      <x:c r="F94" s="23"/>
      <x:c r="G94" s="23"/>
      <x:c r="H94" s="23"/>
    </x:row>
    <x:row r="95" ht="52" customHeight="1">
      <x:c r="A95" s="23" t="str">
        <x:v>self_southasian / Raw</x:v>
      </x:c>
      <x:c r="B95" s="23" t="str">
        <x:v>Male, 5-40
ethnoracial_data_outputs/self_southasian/Male_5-40/output_file_2026-06-29-01-12-41_MR_predicted_age_male.csv
SHA-256: dd53c20dd0c0dd72f0a481b3c11b553be7bb2e5e5af40f421aa983c4bd61ddae</x:v>
      </x:c>
      <x:c r="C95" s="23"/>
      <x:c r="D95" s="23"/>
      <x:c r="E95" s="23"/>
      <x:c r="F95" s="23"/>
      <x:c r="G95" s="23"/>
      <x:c r="H95" s="23"/>
    </x:row>
    <x:row r="96" ht="52" customHeight="1">
      <x:c r="A96" s="23" t="str">
        <x:v>self_southasian / CentileBrain</x:v>
      </x:c>
      <x:c r="B96" s="23" t="str">
        <x:v>Male, 5-40
ethnoracial_data_outputs/self_southasian/Male_5-40/output_file_2026-06-29-01-12-41_Adjusted_BrainAGE_male.csv
SHA-256: 6c70803c5e0fcc044bdc12e0f4d71ae380e4b313f3ec9d4a2660ed638f54b9ac</x:v>
      </x:c>
      <x:c r="C96" s="23"/>
      <x:c r="D96" s="23"/>
      <x:c r="E96" s="23"/>
      <x:c r="F96" s="23"/>
      <x:c r="G96" s="23"/>
      <x:c r="H96" s="23"/>
    </x:row>
    <x:row r="97" ht="52" customHeight="1">
      <x:c r="A97" s="23" t="str">
        <x:v>self_southasian / Raw</x:v>
      </x:c>
      <x:c r="B97" s="23" t="str">
        <x:v>Male, 40-90
ethnoracial_data_outputs/self_southasian/Male_40-90/output_file_2026-06-29-01-13-11_MR_predicted_age_male.csv
SHA-256: 9065a3381a3e31a8e7139d402beef41de36666f1d79c361885f8294e1cedced9</x:v>
      </x:c>
      <x:c r="C97" s="23"/>
      <x:c r="D97" s="23"/>
      <x:c r="E97" s="23"/>
      <x:c r="F97" s="23"/>
      <x:c r="G97" s="23"/>
      <x:c r="H97" s="23"/>
    </x:row>
    <x:row r="98" ht="52" customHeight="1">
      <x:c r="A98" s="23" t="str">
        <x:v>self_southasian / CentileBrain</x:v>
      </x:c>
      <x:c r="B98" s="23" t="str">
        <x:v>Male, 40-90
ethnoracial_data_outputs/self_southasian/Male_40-90/output_file_2026-06-29-01-13-11_Adjusted_BrainAGE_male.csv
SHA-256: 4754eb3a6e0a5451a8f1ef69f32d2f84ad865cd6cbec7999e67c2c37f03566a9</x:v>
      </x:c>
      <x:c r="C98" s="23"/>
      <x:c r="D98" s="23"/>
      <x:c r="E98" s="23"/>
      <x:c r="F98" s="23"/>
      <x:c r="G98" s="23"/>
      <x:c r="H98" s="23"/>
    </x:row>
    <x:row r="99" ht="52" customHeight="1">
      <x:c r="A99" s="23" t="str">
        <x:v>self_turkish / Raw</x:v>
      </x:c>
      <x:c r="B99" s="23" t="str">
        <x:v>Female, 5-40
ethnoracial_data_outputs/self_turkish/Female_5-40/output_file_2026-06-29-01-19-43_MR_predicted_age_female.csv
SHA-256: 441563f65cb6dbc19f6878ecb6ddb39e58a223fd104d2ec0b22e5e98f853ad28</x:v>
      </x:c>
      <x:c r="C99" s="23"/>
      <x:c r="D99" s="23"/>
      <x:c r="E99" s="23"/>
      <x:c r="F99" s="23"/>
      <x:c r="G99" s="23"/>
      <x:c r="H99" s="23"/>
    </x:row>
    <x:row r="100" ht="52" customHeight="1">
      <x:c r="A100" s="23" t="str">
        <x:v>self_turkish / CentileBrain</x:v>
      </x:c>
      <x:c r="B100" s="23" t="str">
        <x:v>Female, 5-40
ethnoracial_data_outputs/self_turkish/Female_5-40/output_file_2026-06-29-01-19-43_Adjusted_BrainAGE_female.csv
SHA-256: ef2a1343ab9fdc271bab8356ae0aefe43e52b9ad55183449a2031a29b99e83c7</x:v>
      </x:c>
      <x:c r="C100" s="23"/>
      <x:c r="D100" s="23"/>
      <x:c r="E100" s="23"/>
      <x:c r="F100" s="23"/>
      <x:c r="G100" s="23"/>
      <x:c r="H100" s="23"/>
    </x:row>
    <x:row r="101" ht="52" customHeight="1">
      <x:c r="A101" s="23" t="str">
        <x:v>self_turkish / Raw</x:v>
      </x:c>
      <x:c r="B101" s="23" t="str">
        <x:v>Male, 5-40
ethnoracial_data_outputs/self_turkish/Male_5-40/output_file_2026-06-29-01-20-21_MR_predicted_age_male.csv
SHA-256: 7b22d02835b0c489a082980511b9c9022f22bb52e812a1ea6865aa0c2c5afd62</x:v>
      </x:c>
      <x:c r="C101" s="23"/>
      <x:c r="D101" s="23"/>
      <x:c r="E101" s="23"/>
      <x:c r="F101" s="23"/>
      <x:c r="G101" s="23"/>
      <x:c r="H101" s="23"/>
    </x:row>
    <x:row r="102" ht="52" customHeight="1">
      <x:c r="A102" s="23" t="str">
        <x:v>self_turkish / CentileBrain</x:v>
      </x:c>
      <x:c r="B102" s="23" t="str">
        <x:v>Male, 5-40
ethnoracial_data_outputs/self_turkish/Male_5-40/output_file_2026-06-29-01-20-21_Adjusted_BrainAGE_male.csv
SHA-256: 8ab05b7042544a409944d4e781594bb4fb8df29bcd6ccf6a5023064e2db6dd67</x:v>
      </x:c>
      <x:c r="C102" s="23"/>
      <x:c r="D102" s="23"/>
      <x:c r="E102" s="23"/>
      <x:c r="F102" s="23"/>
      <x:c r="G102" s="23"/>
      <x:c r="H102" s="23"/>
    </x:row>
  </x:sheetData>
  <x:mergeCells>
    <x:mergeCell ref="A6:C6"/>
    <x:mergeCell ref="D6:H6"/>
    <x:mergeCell ref="A7:C7"/>
    <x:mergeCell ref="D7:H7"/>
    <x:mergeCell ref="A8:C8"/>
    <x:mergeCell ref="D8:H8"/>
    <x:mergeCell ref="A9:C9"/>
    <x:mergeCell ref="D9:H9"/>
    <x:mergeCell ref="A10:C10"/>
    <x:mergeCell ref="D10:H10"/>
    <x:mergeCell ref="A11:C11"/>
    <x:mergeCell ref="D11:H11"/>
    <x:mergeCell ref="A12:C12"/>
    <x:mergeCell ref="D12:H12"/>
    <x:mergeCell ref="A13:C13"/>
    <x:mergeCell ref="D13:H13"/>
    <x:mergeCell ref="A14:C14"/>
    <x:mergeCell ref="D14:H14"/>
    <x:mergeCell ref="A15:C15"/>
    <x:mergeCell ref="D15:H15"/>
    <x:mergeCell ref="A16:C16"/>
    <x:mergeCell ref="D16:H16"/>
    <x:mergeCell ref="A17:C17"/>
    <x:mergeCell ref="D17:H17"/>
    <x:mergeCell ref="B55:H55"/>
    <x:mergeCell ref="B56:H56"/>
    <x:mergeCell ref="B57:H57"/>
    <x:mergeCell ref="B58:H58"/>
    <x:mergeCell ref="B59:H59"/>
    <x:mergeCell ref="B60:H60"/>
    <x:mergeCell ref="B61:H61"/>
    <x:mergeCell ref="B62:H62"/>
    <x:mergeCell ref="B63:H63"/>
    <x:mergeCell ref="B64:H64"/>
    <x:mergeCell ref="B65:H65"/>
    <x:mergeCell ref="B66:H66"/>
    <x:mergeCell ref="B67:H67"/>
    <x:mergeCell ref="B68:H68"/>
    <x:mergeCell ref="B69:H69"/>
    <x:mergeCell ref="B70:H70"/>
    <x:mergeCell ref="B71:H71"/>
    <x:mergeCell ref="B72:H72"/>
    <x:mergeCell ref="B73:H73"/>
    <x:mergeCell ref="B74:H74"/>
    <x:mergeCell ref="B75:H75"/>
    <x:mergeCell ref="B76:H76"/>
    <x:mergeCell ref="B77:H77"/>
    <x:mergeCell ref="B78:H78"/>
    <x:mergeCell ref="B79:H79"/>
    <x:mergeCell ref="B80:H80"/>
    <x:mergeCell ref="B81:H81"/>
    <x:mergeCell ref="B82:H82"/>
    <x:mergeCell ref="B83:H83"/>
    <x:mergeCell ref="B84:H84"/>
    <x:mergeCell ref="B85:H85"/>
    <x:mergeCell ref="B86:H86"/>
    <x:mergeCell ref="B87:H87"/>
    <x:mergeCell ref="B88:H88"/>
    <x:mergeCell ref="B89:H89"/>
    <x:mergeCell ref="B90:H90"/>
    <x:mergeCell ref="B91:H91"/>
    <x:mergeCell ref="B92:H92"/>
    <x:mergeCell ref="B93:H93"/>
    <x:mergeCell ref="B94:H94"/>
    <x:mergeCell ref="B95:H95"/>
    <x:mergeCell ref="B96:H96"/>
    <x:mergeCell ref="B97:H97"/>
    <x:mergeCell ref="B98:H98"/>
    <x:mergeCell ref="B99:H99"/>
    <x:mergeCell ref="B100:H100"/>
    <x:mergeCell ref="B101:H101"/>
    <x:mergeCell ref="B102:H102"/>
  </x:mergeCells>
  <x:pageMargins left="0.7" right="0.7" top="0.75" bottom="0.75" header="0.3" footer="0.3"/>
  <x:tableParts count="1">
    <x:tablePart xmlns:r="http://schemas.openxmlformats.org/officeDocument/2006/relationships" r:id="Re209e382b1c447d8"/>
  </x:tableParts>
</x:worksheet>
</file>